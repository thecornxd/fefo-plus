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Метод" sheetId="1" state="visible" r:id="rId1"/>
    <sheet xmlns:r="http://schemas.openxmlformats.org/officeDocument/2006/relationships" name="1. Допущения" sheetId="2" state="visible" r:id="rId2"/>
    <sheet xmlns:r="http://schemas.openxmlformats.org/officeDocument/2006/relationships" name="2. TAM" sheetId="3" state="visible" r:id="rId3"/>
    <sheet xmlns:r="http://schemas.openxmlformats.org/officeDocument/2006/relationships" name="3. SAM" sheetId="4" state="visible" r:id="rId4"/>
    <sheet xmlns:r="http://schemas.openxmlformats.org/officeDocument/2006/relationships" name="4. SOM" sheetId="5" state="visible" r:id="rId5"/>
    <sheet xmlns:r="http://schemas.openxmlformats.org/officeDocument/2006/relationships" name="5. Юнит-экономика" sheetId="6" state="visible" r:id="rId6"/>
    <sheet xmlns:r="http://schemas.openxmlformats.org/officeDocument/2006/relationships" name="6. MVP-симуляция" sheetId="7" state="visible" r:id="rId7"/>
    <sheet xmlns:r="http://schemas.openxmlformats.org/officeDocument/2006/relationships" name="7. План теста" sheetId="8" state="visible" r:id="rId8"/>
    <sheet xmlns:r="http://schemas.openxmlformats.org/officeDocument/2006/relationships" name="8. Источники" sheetId="9" state="visible" r:id="rId9"/>
    <sheet xmlns:r="http://schemas.openxmlformats.org/officeDocument/2006/relationships" name="9. Рис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%"/>
    <numFmt numFmtId="167" formatCode="# ##0"/>
  </numFmts>
  <fonts count="22">
    <font>
      <name val="Calibri"/>
      <family val="2"/>
      <color theme="1"/>
      <sz val="11"/>
      <scheme val="minor"/>
    </font>
    <font>
      <b val="1"/>
      <color rgb="001F2A63"/>
      <sz val="16"/>
    </font>
    <font>
      <i val="1"/>
      <color rgb="006B7280"/>
      <sz val="10"/>
    </font>
    <font>
      <b val="1"/>
      <color rgb="001F2A63"/>
      <sz val="11"/>
    </font>
    <font>
      <sz val="10"/>
    </font>
    <font>
      <b val="1"/>
      <color rgb="001F2A63"/>
      <sz val="12"/>
    </font>
    <font>
      <b val="1"/>
      <color rgb="001F2A63"/>
      <sz val="14"/>
    </font>
    <font>
      <b val="1"/>
      <color rgb="00FFFFFF"/>
      <sz val="10"/>
    </font>
    <font>
      <b val="1"/>
      <sz val="10"/>
    </font>
    <font>
      <color rgb="006B7280"/>
      <sz val="9"/>
    </font>
    <font>
      <b val="1"/>
    </font>
    <font>
      <b val="1"/>
      <color rgb="00C0392B"/>
      <sz val="12"/>
    </font>
    <font>
      <b val="1"/>
      <color rgb="001F7A5C"/>
      <sz val="11"/>
    </font>
    <font>
      <b val="1"/>
      <color rgb="001F2A63"/>
    </font>
    <font>
      <i val="1"/>
      <color rgb="00C0392B"/>
      <sz val="10"/>
    </font>
    <font>
      <i val="1"/>
      <color rgb="001F7A5C"/>
      <sz val="10"/>
    </font>
    <font>
      <color rgb="001E7BB8"/>
      <sz val="9"/>
      <u val="single"/>
    </font>
    <font>
      <b val="1"/>
      <color rgb="002F5D3A"/>
      <sz val="14"/>
    </font>
    <font>
      <i val="1"/>
      <color rgb="005C6B60"/>
      <sz val="10"/>
    </font>
    <font>
      <b val="1"/>
      <color rgb="00FFFFFF"/>
    </font>
    <font>
      <b val="1"/>
      <color rgb="00B04A3C"/>
    </font>
    <font>
      <b val="1"/>
      <color rgb="002F5D3A"/>
    </font>
  </fonts>
  <fills count="6">
    <fill>
      <patternFill/>
    </fill>
    <fill>
      <patternFill patternType="gray125"/>
    </fill>
    <fill>
      <patternFill patternType="solid">
        <fgColor rgb="001F2A63"/>
      </patternFill>
    </fill>
    <fill>
      <patternFill patternType="solid">
        <fgColor rgb="001E7BB8"/>
      </patternFill>
    </fill>
    <fill>
      <patternFill patternType="solid">
        <fgColor rgb="002F5D3A"/>
      </patternFill>
    </fill>
    <fill>
      <patternFill patternType="solid">
        <fgColor rgb="00EDF2DE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C9D6BA"/>
      </left>
      <right style="thin">
        <color rgb="00C9D6BA"/>
      </right>
      <top style="thin">
        <color rgb="00C9D6BA"/>
      </top>
      <bottom style="thin">
        <color rgb="00C9D6BA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7" fillId="3" borderId="0" pivotButton="0" quotePrefix="0" xfId="0"/>
    <xf numFmtId="0" fontId="0" fillId="0" borderId="1" pivotButton="0" quotePrefix="0" xfId="0"/>
    <xf numFmtId="3" fontId="8" fillId="0" borderId="1" pivotButton="0" quotePrefix="0" xfId="0"/>
    <xf numFmtId="0" fontId="9" fillId="0" borderId="1" applyAlignment="1" pivotButton="0" quotePrefix="0" xfId="0">
      <alignment vertical="top" wrapText="1"/>
    </xf>
    <xf numFmtId="4" fontId="8" fillId="0" borderId="1" pivotButton="0" quotePrefix="0" xfId="0"/>
    <xf numFmtId="0" fontId="8" fillId="0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3" fontId="1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11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12" fillId="0" borderId="0" applyAlignment="1" pivotButton="0" quotePrefix="0" xfId="0">
      <alignment wrapText="1"/>
    </xf>
    <xf numFmtId="9" fontId="0" fillId="0" borderId="1" applyAlignment="1" pivotButton="0" quotePrefix="0" xfId="0">
      <alignment vertical="top" wrapText="1"/>
    </xf>
    <xf numFmtId="3" fontId="12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13" fillId="0" borderId="0" pivotButton="0" quotePrefix="0" xfId="0"/>
    <xf numFmtId="4" fontId="0" fillId="0" borderId="1" applyAlignment="1" pivotButton="0" quotePrefix="0" xfId="0">
      <alignment vertical="top" wrapText="1"/>
    </xf>
    <xf numFmtId="4" fontId="10" fillId="0" borderId="1" applyAlignment="1" pivotButton="0" quotePrefix="0" xfId="0">
      <alignment vertical="top" wrapText="1"/>
    </xf>
    <xf numFmtId="4" fontId="12" fillId="0" borderId="1" applyAlignment="1" pivotButton="0" quotePrefix="0" xfId="0">
      <alignment vertical="top" wrapText="1"/>
    </xf>
    <xf numFmtId="165" fontId="12" fillId="0" borderId="1" applyAlignment="1" pivotButton="0" quotePrefix="0" xfId="0">
      <alignment vertical="top" wrapText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16" fillId="0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2" fontId="0" fillId="0" borderId="2" applyAlignment="1" pivotButton="0" quotePrefix="0" xfId="0">
      <alignment vertical="top" wrapText="1"/>
    </xf>
    <xf numFmtId="167" fontId="0" fillId="0" borderId="2" applyAlignment="1" pivotButton="0" quotePrefix="0" xfId="0">
      <alignment vertical="top"/>
    </xf>
    <xf numFmtId="0" fontId="0" fillId="5" borderId="2" applyAlignment="1" pivotButton="0" quotePrefix="0" xfId="0">
      <alignment vertical="top"/>
    </xf>
    <xf numFmtId="2" fontId="0" fillId="5" borderId="2" applyAlignment="1" pivotButton="0" quotePrefix="0" xfId="0">
      <alignment vertical="top" wrapText="1"/>
    </xf>
    <xf numFmtId="167" fontId="0" fillId="5" borderId="2" applyAlignment="1" pivotButton="0" quotePrefix="0" xfId="0">
      <alignment vertical="top"/>
    </xf>
    <xf numFmtId="0" fontId="10" fillId="5" borderId="2" pivotButton="0" quotePrefix="0" xfId="0"/>
    <xf numFmtId="0" fontId="0" fillId="5" borderId="2" pivotButton="0" quotePrefix="0" xfId="0"/>
    <xf numFmtId="167" fontId="20" fillId="5" borderId="2" pivotButton="0" quotePrefix="0" xfId="0"/>
    <xf numFmtId="167" fontId="21" fillId="5" borderId="2" pivotButton="0" quotePrefix="0" xfId="0"/>
    <xf numFmtId="0" fontId="10" fillId="0" borderId="0" pivotButton="0" quotePrefix="0" xfId="0"/>
    <xf numFmtId="9" fontId="21" fillId="0" borderId="0" pivotButton="0" quotePrefix="0" xfId="0"/>
    <xf numFmtId="0" fontId="21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www.rshb.ru/news/27032024-000001" TargetMode="External" Id="rId1"/><Relationship Type="http://schemas.openxmlformats.org/officeDocument/2006/relationships/hyperlink" Target="https://www.interfax.ru/russia/897558" TargetMode="External" Id="rId2"/><Relationship Type="http://schemas.openxmlformats.org/officeDocument/2006/relationships/hyperlink" Target="https://www.agroinvestor.ru/analytics/news/40199-rskhb-prognoziruet-rost-potrebleniya-zeleni-k-2030-godu/" TargetMode="External" Id="rId3"/><Relationship Type="http://schemas.openxmlformats.org/officeDocument/2006/relationships/hyperlink" Target="https://magnit.ru/product/3412080021-salat_listovoy_v_gorshochke" TargetMode="External" Id="rId4"/><Relationship Type="http://schemas.openxmlformats.org/officeDocument/2006/relationships/hyperlink" Target="https://lenta.com/product/salat-listovojj-v-gorshochke-1sht-305012/" TargetMode="External" Id="rId5"/><Relationship Type="http://schemas.openxmlformats.org/officeDocument/2006/relationships/hyperlink" Target="https://55.rosstat.gov.ru/storage/mediabank/ind-naselenie_01.01.2025.htm" TargetMode="External" Id="rId6"/><Relationship Type="http://schemas.openxmlformats.org/officeDocument/2006/relationships/hyperlink" Target="https://www.retail.ru/rbc/pressreleases/lucky-snacky-rossiyskiy-riteyl-protiv-porchi-ovoshchey-i-fruktov-slozhnosti-borby/" TargetMode="External" Id="rId7"/><Relationship Type="http://schemas.openxmlformats.org/officeDocument/2006/relationships/hyperlink" Target="https://www.bdsalads.ru/about/" TargetMode="External" Id="rId8"/><Relationship Type="http://schemas.openxmlformats.org/officeDocument/2006/relationships/hyperlink" Target="https://www.kommersant.ru/doc/4164941" TargetMode="External" Id="rId9"/><Relationship Type="http://schemas.openxmlformats.org/officeDocument/2006/relationships/hyperlink" Target="https://omsk.rbc.ru/omsk/31/01/2025/679c562f9a7947e296b8559c" TargetMode="External" Id="rId10"/><Relationship Type="http://schemas.openxmlformats.org/officeDocument/2006/relationships/hyperlink" Target="https://gt-logistics.ru/blog/fifo-i-fefo-v-skladskoj-logistike/" TargetMode="External" Id="rId11"/><Relationship Type="http://schemas.openxmlformats.org/officeDocument/2006/relationships/hyperlink" Target="https://innovation.vkusvill.ru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9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2" customWidth="1" min="3" max="3"/>
  </cols>
  <sheetData>
    <row r="1">
      <c r="B1" s="1" t="inlineStr">
        <is>
          <t>FEFO+ — модель рынка и экономики</t>
        </is>
      </c>
    </row>
    <row r="2">
      <c r="B2" s="2" t="inlineStr">
        <is>
          <t>Кейс-чемпионат ВШЭ 2026/2027 · «Накормить будущее: агротех и фудтех от поля до стола»</t>
        </is>
      </c>
    </row>
    <row r="4" ht="58" customHeight="1">
      <c r="B4" s="3" t="inlineStr">
        <is>
          <t>Зачем этот файл</t>
        </is>
      </c>
      <c r="C4" s="4" t="inlineStr">
        <is>
          <t>Показать, как посчитаны TAM / SAM / SOM, юнит-экономика и эффект у клиента. Все входные цифры — на листе «1. Допущения»: у каждой есть источник или честная пометка ДОПУЩЕНИЕ. Жюри по критерию «Рынок» проверяет именно это.</t>
        </is>
      </c>
    </row>
    <row r="5" ht="58" customHeight="1">
      <c r="B5" s="3" t="inlineStr">
        <is>
          <t>Логика TAM</t>
        </is>
      </c>
      <c r="C5" s="4" t="inlineStr">
        <is>
          <t>TAM — весь листовой салат, который за год проходит через звено «доведение до потребителя» в РФ, в деньгах. Считаем двумя способами: сверху вниз (от производства, данные РСХБ) и снизу вверх (население × потребление). Оба дают один порядок — оценка устойчива.</t>
        </is>
      </c>
    </row>
    <row r="6" ht="58" customHeight="1">
      <c r="B6" s="3" t="inlineStr">
        <is>
          <t>Логика SAM</t>
        </is>
      </c>
      <c r="C6" s="4" t="inlineStr">
        <is>
          <t>SAM — часть TAM, где FEFO+ применим уже сейчас: продукт в горшочке/упаковке с коротким сроком; продажа через сети, у которых есть РЦ; производитель достаточно крупный, чтобы работать с сетями и держать отдел качества.</t>
        </is>
      </c>
    </row>
    <row r="7" ht="58" customHeight="1">
      <c r="B7" s="3" t="inlineStr">
        <is>
          <t>Логика SOM</t>
        </is>
      </c>
      <c r="C7" s="4" t="inlineStr">
        <is>
          <t>SOM — доля, которую реально забрать за 3 года: география (Сибирь/Урал) × число доступных хозяйств × конверсия в пилот. Считаем в двух валютах: оборот салата клиентов и наша выручка (подписка).</t>
        </is>
      </c>
    </row>
    <row r="8" ht="58" customHeight="1">
      <c r="B8" s="3" t="inlineStr">
        <is>
          <t>Ключевой приём для защиты</t>
        </is>
      </c>
      <c r="C8" s="4" t="inlineStr">
        <is>
          <t>TAM/SAM/SOM считаем В ДВУХ ВАЛЮТАХ: (1) деньги, проходящие через звено — показывает масштаб проблемы; (2) наша выручка — показывает размер бизнеса. Первое нужно, чтобы обосновать значимость, второе — чтобы показать жизнеспособность.</t>
        </is>
      </c>
    </row>
    <row r="9" ht="58" customHeight="1">
      <c r="B9" s="3" t="inlineStr">
        <is>
          <t>Что честно сказать жюри</t>
        </is>
      </c>
      <c r="C9" s="4" t="inlineStr">
        <is>
          <t>Рынок узкий: 29 тыс. т тепличного салата в РФ. Это не минус, а аргумент: ниша мала для крупного игрока (ему неинтересно) и достаточно велика для вертикального сервиса на 15–20 клиентов.</t>
        </is>
      </c>
    </row>
    <row r="10" ht="58" customHeight="1">
      <c r="B10" s="3" t="inlineStr">
        <is>
          <t>Что НЕ делаем</t>
        </is>
      </c>
      <c r="C10" s="4" t="inlineStr">
        <is>
          <t>Не берём в TAM весь рынок овощей и весь фудтех «на всякий случай». Широкий TAM без выделенного сегмента старта — типичная ошибка, за которую снижают балл по критерию 2 (см. критерии ВШЭ).</t>
        </is>
      </c>
    </row>
    <row r="12">
      <c r="B12" s="5" t="inlineStr">
        <is>
          <t>Структура файла</t>
        </is>
      </c>
    </row>
    <row r="13">
      <c r="B13" s="6" t="inlineStr">
        <is>
          <t>1. Допущения — все входные цифры с источниками</t>
        </is>
      </c>
    </row>
    <row r="14">
      <c r="B14" s="6" t="inlineStr">
        <is>
          <t>2. TAM — расчёт двумя способами + сверка</t>
        </is>
      </c>
    </row>
    <row r="15">
      <c r="B15" s="6" t="inlineStr">
        <is>
          <t>3. SAM — сегментация с коэффициентами</t>
        </is>
      </c>
    </row>
    <row r="16">
      <c r="B16" s="6" t="inlineStr">
        <is>
          <t>4. SOM — 3 года, две валюты</t>
        </is>
      </c>
    </row>
    <row r="17">
      <c r="B17" s="6" t="inlineStr">
        <is>
          <t>5. Юнит-экономика — на 1 голову и на 1 клиента</t>
        </is>
      </c>
    </row>
    <row r="18">
      <c r="B18" s="6" t="inlineStr">
        <is>
          <t>6. MVP-симуляция — результат алгоритма за 90 дней</t>
        </is>
      </c>
    </row>
    <row r="19">
      <c r="B19" s="6" t="inlineStr">
        <is>
          <t>7. Источники — ссылки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5" customWidth="1" min="3" max="3"/>
    <col width="16" customWidth="1" min="4" max="4"/>
    <col width="74" customWidth="1" min="5" max="5"/>
  </cols>
  <sheetData>
    <row r="1">
      <c r="B1" s="7" t="inlineStr">
        <is>
          <t>Все допущения модели</t>
        </is>
      </c>
    </row>
    <row r="2">
      <c r="A2" s="8" t="inlineStr">
        <is>
          <t>№</t>
        </is>
      </c>
      <c r="B2" s="8" t="inlineStr">
        <is>
          <t>Параметр</t>
        </is>
      </c>
      <c r="C2" s="8" t="inlineStr">
        <is>
          <t>Значение</t>
        </is>
      </c>
      <c r="D2" s="8" t="inlineStr">
        <is>
          <t>Ед.</t>
        </is>
      </c>
      <c r="E2" s="8" t="inlineStr">
        <is>
          <t>Источник / обоснование</t>
        </is>
      </c>
    </row>
    <row r="3">
      <c r="A3" s="9" t="n"/>
      <c r="B3" s="9" t="inlineStr">
        <is>
          <t>ПРОИЗВОДСТВО КЛИЕНТА «ДРУЖИНО» (Омск)</t>
        </is>
      </c>
      <c r="C3" s="9" t="n"/>
      <c r="D3" s="9" t="n"/>
      <c r="E3" s="9" t="n"/>
    </row>
    <row r="4" ht="28" customHeight="1">
      <c r="A4" s="10" t="n">
        <v>2</v>
      </c>
      <c r="B4" s="10" t="inlineStr">
        <is>
          <t>Мощность салатного отделения</t>
        </is>
      </c>
      <c r="C4" s="11" t="n">
        <v>227000</v>
      </c>
      <c r="D4" s="10" t="inlineStr">
        <is>
          <t>голов/мес</t>
        </is>
      </c>
      <c r="E4" s="12" t="inlineStr">
        <is>
          <t>Интервью 20.10.2026: «наша максимальная производительность ~227 тыс. салата в месяц»</t>
        </is>
      </c>
    </row>
    <row r="5" ht="28" customHeight="1">
      <c r="A5" s="10" t="n">
        <v>3</v>
      </c>
      <c r="B5" s="10" t="inlineStr">
        <is>
          <t>Площадь под салатом</t>
        </is>
      </c>
      <c r="C5" s="13" t="n">
        <v>0.65</v>
      </c>
      <c r="D5" s="10" t="inlineStr">
        <is>
          <t>га</t>
        </is>
      </c>
      <c r="E5" s="12" t="inlineStr">
        <is>
          <t>Интервью 20.10.2026</t>
        </is>
      </c>
    </row>
    <row r="6" ht="28" customHeight="1">
      <c r="A6" s="10" t="n">
        <v>4</v>
      </c>
      <c r="B6" s="10" t="inlineStr">
        <is>
          <t>Продажи в федеральные сети</t>
        </is>
      </c>
      <c r="C6" s="13" t="n">
        <v>0.85</v>
      </c>
      <c r="D6" s="10" t="inlineStr">
        <is>
          <t>доля</t>
        </is>
      </c>
      <c r="E6" s="12" t="inlineStr">
        <is>
          <t>Интервью 20.10.2026: 85% — ФС, 15% — ОПТ</t>
        </is>
      </c>
    </row>
    <row r="7" ht="28" customHeight="1">
      <c r="A7" s="10" t="n">
        <v>5</v>
      </c>
      <c r="B7" s="10" t="inlineStr">
        <is>
          <t>Листовой салат</t>
        </is>
      </c>
      <c r="C7" s="11" t="n">
        <v>170000</v>
      </c>
      <c r="D7" s="10" t="inlineStr">
        <is>
          <t>голов/мес</t>
        </is>
      </c>
      <c r="E7" s="12" t="inlineStr">
        <is>
          <t>Интервью 20.10.2026</t>
        </is>
      </c>
    </row>
    <row r="8" ht="28" customHeight="1">
      <c r="A8" s="10" t="n">
        <v>6</v>
      </c>
      <c r="B8" s="10" t="inlineStr">
        <is>
          <t>Фриллис и маслянистый</t>
        </is>
      </c>
      <c r="C8" s="11" t="n">
        <v>57000</v>
      </c>
      <c r="D8" s="10" t="inlineStr">
        <is>
          <t>голов/мес</t>
        </is>
      </c>
      <c r="E8" s="12" t="inlineStr">
        <is>
          <t>Интервью 20.10.2026</t>
        </is>
      </c>
    </row>
    <row r="9" ht="28" customHeight="1">
      <c r="A9" s="10" t="n">
        <v>7</v>
      </c>
      <c r="B9" s="10" t="inlineStr">
        <is>
          <t>Минимум производства (зима, досветка + газ)</t>
        </is>
      </c>
      <c r="C9" s="14" t="inlineStr">
        <is>
          <t>ноя–фев</t>
        </is>
      </c>
      <c r="D9" s="10" t="inlineStr">
        <is>
          <t>—</t>
        </is>
      </c>
      <c r="E9" s="12" t="inlineStr">
        <is>
          <t>Интервью: самый низкий показатель в зимние месяцы, когда много света и газа на отопление</t>
        </is>
      </c>
    </row>
    <row r="10" ht="28" customHeight="1">
      <c r="A10" s="10" t="n">
        <v>8</v>
      </c>
      <c r="B10" s="10" t="inlineStr">
        <is>
          <t>Максимум (лето, естественное освещение)</t>
        </is>
      </c>
      <c r="C10" s="14" t="inlineStr">
        <is>
          <t>июнь–авг</t>
        </is>
      </c>
      <c r="D10" s="10" t="inlineStr">
        <is>
          <t>—</t>
        </is>
      </c>
      <c r="E10" s="12" t="inlineStr">
        <is>
          <t>Интервью: летом выключают свет и идут на естественном освещении</t>
        </is>
      </c>
    </row>
    <row r="11" ht="28" customHeight="1">
      <c r="A11" s="10" t="n">
        <v>9</v>
      </c>
      <c r="B11" s="10" t="inlineStr">
        <is>
          <t>Сезонность спроса на салат</t>
        </is>
      </c>
      <c r="C11" s="14" t="inlineStr">
        <is>
          <t>лето −</t>
        </is>
      </c>
      <c r="D11" s="10" t="inlineStr">
        <is>
          <t>—</t>
        </is>
      </c>
      <c r="E11" s="12" t="inlineStr">
        <is>
          <t>Интервью: летом спрос спадает (отпуска, дачи, конкуренция открытого грунта)</t>
        </is>
      </c>
    </row>
    <row r="12">
      <c r="A12" s="9" t="n"/>
      <c r="B12" s="9" t="inlineStr">
        <is>
          <t>ПРОДУКТ И ЦЕНА</t>
        </is>
      </c>
      <c r="C12" s="9" t="n"/>
      <c r="D12" s="9" t="n"/>
      <c r="E12" s="9" t="n"/>
    </row>
    <row r="13" ht="28" customHeight="1">
      <c r="A13" s="10" t="n">
        <v>11</v>
      </c>
      <c r="B13" s="10" t="inlineStr">
        <is>
          <t>Срок годности салата в горшочке</t>
        </is>
      </c>
      <c r="C13" s="11" t="n">
        <v>10</v>
      </c>
      <c r="D13" s="10" t="inlineStr">
        <is>
          <t>дней</t>
        </is>
      </c>
      <c r="E13" s="12" t="inlineStr">
        <is>
          <t>Карточка «Магнит»: «Салат листовой в горшочке», срок годности 10 дней</t>
        </is>
      </c>
    </row>
    <row r="14" ht="28" customHeight="1">
      <c r="A14" s="10" t="n">
        <v>12</v>
      </c>
      <c r="B14" s="10" t="inlineStr">
        <is>
          <t>Масса головы</t>
        </is>
      </c>
      <c r="C14" s="13" t="n">
        <v>0.08500000000000001</v>
      </c>
      <c r="D14" s="10" t="inlineStr">
        <is>
          <t>кг</t>
        </is>
      </c>
      <c r="E14" s="12" t="inlineStr">
        <is>
          <t>Фасовка 70–100 г (Магнит, Ашан, ВкусВилл)</t>
        </is>
      </c>
    </row>
    <row r="15" ht="28" customHeight="1">
      <c r="A15" s="10" t="n">
        <v>13</v>
      </c>
      <c r="B15" s="10" t="inlineStr">
        <is>
          <t>Розничная цена</t>
        </is>
      </c>
      <c r="C15" s="11" t="n">
        <v>85</v>
      </c>
      <c r="D15" s="10" t="inlineStr">
        <is>
          <t>₽/голова</t>
        </is>
      </c>
      <c r="E15" s="12" t="inlineStr">
        <is>
          <t>Магнит 89,99–95,99 ₽; Пятёрочка 69–89,99 ₽; Лента 63 ₽; Ярче 59,99 ₽; Ашан 79,99 ₽. Берём 85 ₽</t>
        </is>
      </c>
    </row>
    <row r="16" ht="28" customHeight="1">
      <c r="A16" s="10" t="n">
        <v>14</v>
      </c>
      <c r="B16" s="10" t="inlineStr">
        <is>
          <t>Отпускная цена производителя</t>
        </is>
      </c>
      <c r="C16" s="11" t="n">
        <v>45</v>
      </c>
      <c r="D16" s="10" t="inlineStr">
        <is>
          <t>₽/голова</t>
        </is>
      </c>
      <c r="E16" s="12" t="inlineStr">
        <is>
          <t>ДОПУЩЕНИЕ: наценка сети ~40–50%. Требует подтверждения у клиента</t>
        </is>
      </c>
    </row>
    <row r="17" ht="28" customHeight="1">
      <c r="A17" s="10" t="n">
        <v>15</v>
      </c>
      <c r="B17" s="10" t="inlineStr">
        <is>
          <t>Себестоимость выращивания</t>
        </is>
      </c>
      <c r="C17" s="11" t="n">
        <v>40</v>
      </c>
      <c r="D17" s="10" t="inlineStr">
        <is>
          <t>₽/голова</t>
        </is>
      </c>
      <c r="E17" s="12" t="inlineStr">
        <is>
          <t>ДОПУЩЕНИЕ: рентабельность отрасли ~2% («Теплицы России»). Требует подтверждения</t>
        </is>
      </c>
    </row>
    <row r="18" ht="28" customHeight="1">
      <c r="A18" s="10" t="n">
        <v>16</v>
      </c>
      <c r="B18" s="10" t="inlineStr">
        <is>
          <t>Логистика до РЦ и до магазина</t>
        </is>
      </c>
      <c r="C18" s="13" t="n">
        <v>2.5</v>
      </c>
      <c r="D18" s="10" t="inlineStr">
        <is>
          <t>₽/голова</t>
        </is>
      </c>
      <c r="E18" s="12" t="inlineStr">
        <is>
          <t>ДОПУЩЕНИЕ: сборные рейсы Омск → РЦ → магазины</t>
        </is>
      </c>
    </row>
    <row r="19" ht="28" customHeight="1">
      <c r="A19" s="10" t="n">
        <v>17</v>
      </c>
      <c r="B19" s="10" t="inlineStr">
        <is>
          <t>Вычет сети за короткий остаточный срок</t>
        </is>
      </c>
      <c r="C19" s="13" t="n">
        <v>1</v>
      </c>
      <c r="D19" s="10" t="inlineStr">
        <is>
          <t>₽/голова</t>
        </is>
      </c>
      <c r="E19" s="12" t="inlineStr">
        <is>
          <t>ДОПУЩЕНИЕ (консервативно): сеть урезает заказ и относит списания на поставщика</t>
        </is>
      </c>
    </row>
    <row r="20">
      <c r="A20" s="9" t="n"/>
      <c r="B20" s="9" t="inlineStr">
        <is>
          <t>СЕТЬ И РЦ</t>
        </is>
      </c>
      <c r="C20" s="9" t="n"/>
      <c r="D20" s="9" t="n"/>
      <c r="E20" s="9" t="n"/>
    </row>
    <row r="21" ht="28" customHeight="1">
      <c r="A21" s="10" t="n">
        <v>19</v>
      </c>
      <c r="B21" s="10" t="inlineStr">
        <is>
          <t>Магазинов сети в Омске на обслуживании РЦ</t>
        </is>
      </c>
      <c r="C21" s="11" t="n">
        <v>120</v>
      </c>
      <c r="D21" s="10" t="inlineStr">
        <is>
          <t>шт.</t>
        </is>
      </c>
      <c r="E21" s="12" t="inlineStr">
        <is>
          <t>ДОПУЩЕНИЕ: 4 сети поставки — Пятёрочка (Глобал Виллидж), Магнит (Свежесть), Ярче, местные</t>
        </is>
      </c>
    </row>
    <row r="22" ht="28" customHeight="1">
      <c r="A22" s="10" t="n">
        <v>20</v>
      </c>
      <c r="B22" s="10" t="inlineStr">
        <is>
          <t>Волн отгрузки в неделю (базовый график)</t>
        </is>
      </c>
      <c r="C22" s="11" t="n">
        <v>3</v>
      </c>
      <c r="D22" s="10" t="inlineStr">
        <is>
          <t>шт.</t>
        </is>
      </c>
      <c r="E22" s="12" t="inlineStr">
        <is>
          <t>ДОПУЩЕНИЕ: пн / ср / пт</t>
        </is>
      </c>
    </row>
    <row r="23" ht="28" customHeight="1">
      <c r="A23" s="10" t="n">
        <v>21</v>
      </c>
      <c r="B23" s="10" t="inlineStr">
        <is>
          <t>Транзит РЦ → магазин</t>
        </is>
      </c>
      <c r="C23" s="11" t="n">
        <v>1</v>
      </c>
      <c r="D23" s="10" t="inlineStr">
        <is>
          <t>день</t>
        </is>
      </c>
      <c r="E23" s="12" t="inlineStr">
        <is>
          <t>ДОПУЩЕНИЕ</t>
        </is>
      </c>
    </row>
    <row r="24" ht="28" customHeight="1">
      <c r="A24" s="10" t="n">
        <v>22</v>
      </c>
      <c r="B24" s="10" t="inlineStr">
        <is>
          <t>Минимальный остаточный срок при приёмке</t>
        </is>
      </c>
      <c r="C24" s="13" t="n">
        <v>0.6</v>
      </c>
      <c r="D24" s="10" t="inlineStr">
        <is>
          <t>доля</t>
        </is>
      </c>
      <c r="E24" s="12" t="inlineStr">
        <is>
          <t>Отраслевая практика: сети требуют 50–75% остаточного срока</t>
        </is>
      </c>
    </row>
    <row r="25" ht="28" customHeight="1">
      <c r="A25" s="10" t="n">
        <v>23</v>
      </c>
      <c r="B25" s="10" t="inlineStr">
        <is>
          <t>Простой партии на РЦ (база d0)</t>
        </is>
      </c>
      <c r="C25" s="13" t="n">
        <v>0.35</v>
      </c>
      <c r="D25" s="10" t="inlineStr">
        <is>
          <t>дней</t>
        </is>
      </c>
      <c r="E25" s="12" t="inlineStr">
        <is>
          <t>ДОПУЩЕНИЕ: формула d = d0 / (1 − загрузка)</t>
        </is>
      </c>
    </row>
    <row r="26" ht="28" customHeight="1">
      <c r="A26" s="10" t="n">
        <v>24</v>
      </c>
      <c r="B26" s="10" t="inlineStr">
        <is>
          <t>Мощность РЦ</t>
        </is>
      </c>
      <c r="C26" s="13" t="n">
        <v>1.3</v>
      </c>
      <c r="D26" s="10" t="inlineStr">
        <is>
          <t>× недельной потребности</t>
        </is>
      </c>
      <c r="E26" s="12" t="inlineStr">
        <is>
          <t>ДОПУЩЕНИЕ</t>
        </is>
      </c>
    </row>
    <row r="27" ht="28" customHeight="1">
      <c r="A27" s="10" t="n">
        <v>25</v>
      </c>
      <c r="B27" s="10" t="inlineStr">
        <is>
          <t>Волна «пятница» лежит на РЦ все выходные</t>
        </is>
      </c>
      <c r="C27" s="13" t="n">
        <v>2</v>
      </c>
      <c r="D27" s="10" t="inlineStr">
        <is>
          <t>дней</t>
        </is>
      </c>
      <c r="E27" s="12" t="inlineStr">
        <is>
          <t>ДОПУЩЕНИЕ: приёмку в сб/вс РЦ не обрабатывает — главный источник короткого RSL</t>
        </is>
      </c>
    </row>
    <row r="28" ht="28" customHeight="1">
      <c r="A28" s="10" t="n">
        <v>26</v>
      </c>
      <c r="B28" s="10" t="inlineStr">
        <is>
          <t>Ошибка прогноза спроса магазина</t>
        </is>
      </c>
      <c r="C28" s="13" t="n">
        <v>0.22</v>
      </c>
      <c r="D28" s="10" t="inlineStr">
        <is>
          <t>доля</t>
        </is>
      </c>
      <c r="E28" s="12" t="inlineStr">
        <is>
          <t>ДОПУЩЕНИЕ: алгоритм работает на прогнозе, а не на факте</t>
        </is>
      </c>
    </row>
    <row r="29">
      <c r="A29" s="9" t="n"/>
      <c r="B29" s="9" t="inlineStr">
        <is>
          <t>РЫНОК РФ</t>
        </is>
      </c>
      <c r="C29" s="9" t="n"/>
      <c r="D29" s="9" t="n"/>
      <c r="E29" s="9" t="n"/>
    </row>
    <row r="30" ht="28" customHeight="1">
      <c r="A30" s="10" t="n">
        <v>28</v>
      </c>
      <c r="B30" s="10" t="inlineStr">
        <is>
          <t>Валовый сбор листовых салатов, защищённый грунт</t>
        </is>
      </c>
      <c r="C30" s="11" t="n">
        <v>29000</v>
      </c>
      <c r="D30" s="10" t="inlineStr">
        <is>
          <t>т/год</t>
        </is>
      </c>
      <c r="E30" s="12" t="inlineStr">
        <is>
          <t>РСХБ, итоги 2023 г.</t>
        </is>
      </c>
    </row>
    <row r="31" ht="28" customHeight="1">
      <c r="A31" s="10" t="n">
        <v>29</v>
      </c>
      <c r="B31" s="10" t="inlineStr">
        <is>
          <t>Валовый сбор салатов, открытый грунт</t>
        </is>
      </c>
      <c r="C31" s="11" t="n">
        <v>50000</v>
      </c>
      <c r="D31" s="10" t="inlineStr">
        <is>
          <t>т/год</t>
        </is>
      </c>
      <c r="E31" s="12" t="inlineStr">
        <is>
          <t>РСХБ, итоги 2023 г.</t>
        </is>
      </c>
    </row>
    <row r="32" ht="28" customHeight="1">
      <c r="A32" s="10" t="n">
        <v>30</v>
      </c>
      <c r="B32" s="10" t="inlineStr">
        <is>
          <t>Импорт салатных овощей</t>
        </is>
      </c>
      <c r="C32" s="11" t="n">
        <v>9880</v>
      </c>
      <c r="D32" s="10" t="inlineStr">
        <is>
          <t>т/год</t>
        </is>
      </c>
      <c r="E32" s="12" t="inlineStr">
        <is>
          <t>РСХБ, 2022 г. (было 12,9 тыс. т в 2021 — импортозамещение)</t>
        </is>
      </c>
    </row>
    <row r="33" ht="28" customHeight="1">
      <c r="A33" s="10" t="n">
        <v>31</v>
      </c>
      <c r="B33" s="10" t="inlineStr">
        <is>
          <t>Прогноз защищённого грунта к 2030</t>
        </is>
      </c>
      <c r="C33" s="11" t="n">
        <v>38000</v>
      </c>
      <c r="D33" s="10" t="inlineStr">
        <is>
          <t>т/год</t>
        </is>
      </c>
      <c r="E33" s="12" t="inlineStr">
        <is>
          <t>РСХБ: рост на треть к 2023 г., +5% в год</t>
        </is>
      </c>
    </row>
    <row r="34" ht="28" customHeight="1">
      <c r="A34" s="10" t="n">
        <v>32</v>
      </c>
      <c r="B34" s="10" t="inlineStr">
        <is>
          <t>Потребление зелени и салатов</t>
        </is>
      </c>
      <c r="C34" s="13" t="n">
        <v>8.5</v>
      </c>
      <c r="D34" s="10" t="inlineStr">
        <is>
          <t>кг/чел/год</t>
        </is>
      </c>
      <c r="E34" s="12" t="inlineStr">
        <is>
          <t>РСХБ: сейчас 7–10 кг, к 2030 — до 12 кг</t>
        </is>
      </c>
    </row>
    <row r="35" ht="28" customHeight="1">
      <c r="A35" s="10" t="n">
        <v>33</v>
      </c>
      <c r="B35" s="10" t="inlineStr">
        <is>
          <t>Население РФ</t>
        </is>
      </c>
      <c r="C35" s="13" t="n">
        <v>146</v>
      </c>
      <c r="D35" s="10" t="inlineStr">
        <is>
          <t>млн чел.</t>
        </is>
      </c>
      <c r="E35" s="12" t="inlineStr">
        <is>
          <t>Росстат</t>
        </is>
      </c>
    </row>
    <row r="36" ht="28" customHeight="1">
      <c r="A36" s="10" t="n">
        <v>34</v>
      </c>
      <c r="B36" s="10" t="inlineStr">
        <is>
          <t>Население Омской области / Омска</t>
        </is>
      </c>
      <c r="C36" s="14" t="inlineStr">
        <is>
          <t>1 805 806 / 1 101 367</t>
        </is>
      </c>
      <c r="D36" s="10" t="inlineStr">
        <is>
          <t>чел.</t>
        </is>
      </c>
      <c r="E36" s="12" t="inlineStr">
        <is>
          <t>Омскстат, на 01.01.2025</t>
        </is>
      </c>
    </row>
    <row r="37" ht="28" customHeight="1">
      <c r="A37" s="10" t="n">
        <v>35</v>
      </c>
      <c r="B37" s="10" t="inlineStr">
        <is>
          <t>Листовой салат в категории «зелень и салаты»</t>
        </is>
      </c>
      <c r="C37" s="13" t="n">
        <v>0.08</v>
      </c>
      <c r="D37" s="10" t="inlineStr">
        <is>
          <t>доля</t>
        </is>
      </c>
      <c r="E37" s="12" t="inlineStr">
        <is>
          <t>ДОПУЩЕНИЕ для проверки TAM снизу вверх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13" customWidth="1" min="4" max="4"/>
    <col width="28" customWidth="1" min="5" max="5"/>
    <col width="56" customWidth="1" min="6" max="6"/>
  </cols>
  <sheetData>
    <row r="1">
      <c r="B1" s="7" t="inlineStr">
        <is>
          <t>TAM — весь рынок, проходящий через звено «доведение до потребителя»</t>
        </is>
      </c>
    </row>
    <row r="2">
      <c r="B2" s="2" t="inlineStr">
        <is>
          <t>Россия · листовой салат и зелень защищённого грунта · 2025–2026</t>
        </is>
      </c>
    </row>
    <row r="4">
      <c r="B4" s="3" t="inlineStr">
        <is>
          <t>Способ 1. Сверху вниз — от производства (РСХБ, 2023)</t>
        </is>
      </c>
    </row>
    <row r="5">
      <c r="A5" s="8" t="inlineStr"/>
      <c r="B5" s="8" t="inlineStr">
        <is>
          <t>Показатель</t>
        </is>
      </c>
      <c r="C5" s="8" t="inlineStr">
        <is>
          <t>Значение</t>
        </is>
      </c>
      <c r="D5" s="8" t="inlineStr">
        <is>
          <t>Ед.</t>
        </is>
      </c>
      <c r="E5" s="8" t="inlineStr">
        <is>
          <t>Формула</t>
        </is>
      </c>
      <c r="F5" s="8" t="inlineStr">
        <is>
          <t>Комментарий</t>
        </is>
      </c>
    </row>
    <row r="6" ht="28" customHeight="1">
      <c r="A6" s="15" t="inlineStr"/>
      <c r="B6" s="15" t="inlineStr">
        <is>
          <t>Валовый сбор салата в защищённом грунте РФ</t>
        </is>
      </c>
      <c r="C6" s="16" t="n">
        <v>29000</v>
      </c>
      <c r="D6" s="15" t="inlineStr">
        <is>
          <t>т</t>
        </is>
      </c>
      <c r="E6" s="15" t="inlineStr">
        <is>
          <t>источник</t>
        </is>
      </c>
      <c r="F6" s="15" t="inlineStr">
        <is>
          <t>Тепличный салат — именно наш продукт: горшочек, короткий срок</t>
        </is>
      </c>
    </row>
    <row r="7" ht="28" customHeight="1">
      <c r="A7" s="15" t="inlineStr"/>
      <c r="B7" s="15" t="inlineStr">
        <is>
          <t>Импорт салатных овощей</t>
        </is>
      </c>
      <c r="C7" s="16" t="n">
        <v>9880</v>
      </c>
      <c r="D7" s="15" t="inlineStr">
        <is>
          <t>т</t>
        </is>
      </c>
      <c r="E7" s="15" t="inlineStr">
        <is>
          <t>источник</t>
        </is>
      </c>
      <c r="F7" s="15" t="inlineStr">
        <is>
          <t>Проходит тот же путь до полки</t>
        </is>
      </c>
    </row>
    <row r="8">
      <c r="A8" s="17" t="inlineStr"/>
      <c r="B8" s="17" t="inlineStr">
        <is>
          <t>Объём в звене</t>
        </is>
      </c>
      <c r="C8" s="18" t="n">
        <v>38880</v>
      </c>
      <c r="D8" s="17" t="inlineStr">
        <is>
          <t>т</t>
        </is>
      </c>
      <c r="E8" s="17" t="inlineStr">
        <is>
          <t>29 000 + 9 880</t>
        </is>
      </c>
      <c r="F8" s="17" t="inlineStr"/>
    </row>
    <row r="9">
      <c r="A9" s="15" t="inlineStr"/>
      <c r="B9" s="15" t="inlineStr">
        <is>
          <t>Масса одной головы</t>
        </is>
      </c>
      <c r="C9" s="19" t="n">
        <v>0.08500000000000001</v>
      </c>
      <c r="D9" s="15" t="inlineStr">
        <is>
          <t>кг</t>
        </is>
      </c>
      <c r="E9" s="15" t="inlineStr">
        <is>
          <t>допущение</t>
        </is>
      </c>
      <c r="F9" s="15" t="inlineStr"/>
    </row>
    <row r="10">
      <c r="A10" s="17" t="inlineStr"/>
      <c r="B10" s="17" t="inlineStr">
        <is>
          <t>Объём в натуральном выражении</t>
        </is>
      </c>
      <c r="C10" s="18" t="n">
        <v>457411765</v>
      </c>
      <c r="D10" s="17" t="inlineStr">
        <is>
          <t>голов/год</t>
        </is>
      </c>
      <c r="E10" s="17">
        <f> 38880 т × 1000 / 0.085</f>
        <v/>
      </c>
      <c r="F10" s="17" t="inlineStr">
        <is>
          <t>≈ 457 млн голов — это и есть «единица» рынка</t>
        </is>
      </c>
    </row>
    <row r="11">
      <c r="A11" s="15" t="inlineStr"/>
      <c r="B11" s="15" t="inlineStr">
        <is>
          <t>Отпускная цена производителя</t>
        </is>
      </c>
      <c r="C11" s="16" t="n">
        <v>45</v>
      </c>
      <c r="D11" s="15" t="inlineStr">
        <is>
          <t>₽/голова</t>
        </is>
      </c>
      <c r="E11" s="15" t="inlineStr">
        <is>
          <t>допущение</t>
        </is>
      </c>
      <c r="F11" s="15" t="inlineStr"/>
    </row>
    <row r="12">
      <c r="A12" s="15" t="inlineStr"/>
      <c r="B12" s="15" t="inlineStr">
        <is>
          <t>TAM в деньгах (оборот поставщиков)</t>
        </is>
      </c>
      <c r="C12" s="20" t="n">
        <v>20583529412</v>
      </c>
      <c r="D12" s="15" t="inlineStr">
        <is>
          <t>₽/год</t>
        </is>
      </c>
      <c r="E12" s="15">
        <f> 457 млн × 45 ₽</f>
        <v/>
      </c>
      <c r="F12" s="15" t="inlineStr">
        <is>
          <t>≈ 21 млрд ₽. Деньги, внутри которых «живёт» проблема потерь</t>
        </is>
      </c>
    </row>
    <row r="13">
      <c r="A13" s="15" t="inlineStr"/>
      <c r="B13" s="15" t="inlineStr">
        <is>
          <t>TAM в ценах полки (розница)</t>
        </is>
      </c>
      <c r="C13" s="16" t="n">
        <v>38880000000</v>
      </c>
      <c r="D13" s="15" t="inlineStr">
        <is>
          <t>₽/год</t>
        </is>
      </c>
      <c r="E13" s="15">
        <f> 457 млн × 85 ₽</f>
        <v/>
      </c>
      <c r="F13" s="15" t="inlineStr">
        <is>
          <t>показывает масштаб категории для сети</t>
        </is>
      </c>
    </row>
    <row r="15">
      <c r="B15" s="3" t="inlineStr">
        <is>
          <t>Способ 2. Снизу вверх — от потребления (проверка)</t>
        </is>
      </c>
    </row>
    <row r="16">
      <c r="A16" s="8" t="inlineStr"/>
      <c r="B16" s="8" t="inlineStr">
        <is>
          <t>Показатель</t>
        </is>
      </c>
      <c r="C16" s="8" t="inlineStr">
        <is>
          <t>Значение</t>
        </is>
      </c>
      <c r="D16" s="8" t="inlineStr">
        <is>
          <t>Ед.</t>
        </is>
      </c>
      <c r="E16" s="8" t="inlineStr">
        <is>
          <t>Формула</t>
        </is>
      </c>
      <c r="F16" s="8" t="inlineStr">
        <is>
          <t>Комментарий</t>
        </is>
      </c>
    </row>
    <row r="17">
      <c r="A17" s="15" t="inlineStr"/>
      <c r="B17" s="15" t="inlineStr">
        <is>
          <t>Население РФ</t>
        </is>
      </c>
      <c r="C17" s="21" t="n">
        <v>146</v>
      </c>
      <c r="D17" s="15" t="inlineStr">
        <is>
          <t>млн чел.</t>
        </is>
      </c>
      <c r="E17" s="15" t="inlineStr">
        <is>
          <t>Росстат</t>
        </is>
      </c>
      <c r="F17" s="15" t="inlineStr"/>
    </row>
    <row r="18">
      <c r="A18" s="15" t="inlineStr"/>
      <c r="B18" s="15" t="inlineStr">
        <is>
          <t>Потребление зелени и салатов</t>
        </is>
      </c>
      <c r="C18" s="21" t="n">
        <v>8.5</v>
      </c>
      <c r="D18" s="15" t="inlineStr">
        <is>
          <t>кг/чел/год</t>
        </is>
      </c>
      <c r="E18" s="15" t="inlineStr">
        <is>
          <t>РСХБ</t>
        </is>
      </c>
      <c r="F18" s="15" t="inlineStr">
        <is>
          <t>диапазон 7–10 кг, берём середину</t>
        </is>
      </c>
    </row>
    <row r="19">
      <c r="A19" s="15" t="inlineStr"/>
      <c r="B19" s="15" t="inlineStr">
        <is>
          <t>Потребление категории</t>
        </is>
      </c>
      <c r="C19" s="16" t="n">
        <v>1241000</v>
      </c>
      <c r="D19" s="15" t="inlineStr">
        <is>
          <t>т/год</t>
        </is>
      </c>
      <c r="E19" s="15">
        <f> 146 млн × 8,5 кг</f>
        <v/>
      </c>
      <c r="F19" s="15" t="inlineStr">
        <is>
          <t>включает укроп, петрушку, лук, салаты</t>
        </is>
      </c>
    </row>
    <row r="20">
      <c r="A20" s="15" t="inlineStr"/>
      <c r="B20" s="15" t="inlineStr">
        <is>
          <t>Доля листового салата в категории</t>
        </is>
      </c>
      <c r="C20" s="22" t="n">
        <v>0.08</v>
      </c>
      <c r="D20" s="15" t="inlineStr">
        <is>
          <t>доля</t>
        </is>
      </c>
      <c r="E20" s="15" t="inlineStr">
        <is>
          <t>допущение</t>
        </is>
      </c>
      <c r="F20" s="15" t="inlineStr"/>
    </row>
    <row r="21">
      <c r="A21" s="17" t="inlineStr"/>
      <c r="B21" s="17" t="inlineStr">
        <is>
          <t>Листовой салат</t>
        </is>
      </c>
      <c r="C21" s="18" t="n">
        <v>99280</v>
      </c>
      <c r="D21" s="17" t="inlineStr">
        <is>
          <t>т/год</t>
        </is>
      </c>
      <c r="E21" s="17">
        <f> 124 100 т × 8%</f>
        <v/>
      </c>
      <c r="F21" s="17" t="inlineStr"/>
    </row>
    <row r="22" ht="52" customHeight="1">
      <c r="A22" s="15" t="inlineStr"/>
      <c r="B22" s="15" t="inlineStr">
        <is>
          <t>Сверка с расчётом сверху</t>
        </is>
      </c>
      <c r="C22" s="23" t="n">
        <v>2.55</v>
      </c>
      <c r="D22" s="15" t="inlineStr">
        <is>
          <t>×</t>
        </is>
      </c>
      <c r="E22" s="15">
        <f> 99 тыс. т / 39 тыс. т</f>
        <v/>
      </c>
      <c r="F22" s="15" t="inlineStr">
        <is>
          <t>Расхождение в 2.6 раза: нижняя оценка включает открытый грунт и прочую зелень, верхняя — только теплицы и импорт. Обе дают порядок 10–20 млрд ₽, значит оценка TAM устойчива</t>
        </is>
      </c>
    </row>
    <row r="24" ht="48" customHeight="1">
      <c r="B24" s="24" t="inlineStr">
        <is>
          <t>ВЫВОД ДЛЯ СЛАЙДА:  TAM ≈ 39 тыс. т ≈ 457 млн голов ≈ 20.6 млрд ₽/год в отпускных ценах (≈ 39 млрд ₽ в ценах полки). Тепличный сегмент растёт на 5% в год и к 2030 даст 38 тыс. т.</t>
        </is>
      </c>
    </row>
  </sheetData>
  <mergeCells count="1">
    <mergeCell ref="B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3" customWidth="1" min="3" max="3"/>
    <col width="18" customWidth="1" min="4" max="4"/>
    <col width="14" customWidth="1" min="5" max="5"/>
    <col width="62" customWidth="1" min="6" max="6"/>
  </cols>
  <sheetData>
    <row r="1">
      <c r="B1" s="7" t="inlineStr">
        <is>
          <t>SAM — сегмент, где FEFO+ применим уже сейчас</t>
        </is>
      </c>
    </row>
    <row r="2">
      <c r="B2" s="2" t="inlineStr">
        <is>
          <t>Отсекаем то, что недоступно по природе продукта, канала и размера клиента</t>
        </is>
      </c>
    </row>
    <row r="4">
      <c r="A4" s="8" t="inlineStr"/>
      <c r="B4" s="8" t="inlineStr">
        <is>
          <t>Шаг отсечения</t>
        </is>
      </c>
      <c r="C4" s="8" t="inlineStr">
        <is>
          <t>Коэф.</t>
        </is>
      </c>
      <c r="D4" s="8" t="inlineStr">
        <is>
          <t>Остаток, ₽/год</t>
        </is>
      </c>
      <c r="E4" s="8" t="inlineStr">
        <is>
          <t>Накопл.</t>
        </is>
      </c>
      <c r="F4" s="8" t="inlineStr">
        <is>
          <t>Обоснование</t>
        </is>
      </c>
    </row>
    <row r="5">
      <c r="A5" s="15" t="inlineStr"/>
      <c r="B5" s="15" t="inlineStr">
        <is>
          <t>TAM (отпускные цены)</t>
        </is>
      </c>
      <c r="C5" s="23" t="n">
        <v>1</v>
      </c>
      <c r="D5" s="16" t="n">
        <v>20583529412</v>
      </c>
      <c r="E5" s="25" t="n">
        <v>1</v>
      </c>
      <c r="F5" s="15" t="inlineStr">
        <is>
          <t>база</t>
        </is>
      </c>
    </row>
    <row r="6" ht="30" customHeight="1">
      <c r="A6" s="15" t="inlineStr"/>
      <c r="B6" s="15" t="inlineStr">
        <is>
          <t>Продукт в горшочке / кассете / упаковке (не пучок и не кочан)</t>
        </is>
      </c>
      <c r="C6" s="23" t="n">
        <v>0.7</v>
      </c>
      <c r="D6" s="16" t="n">
        <v>14408470588</v>
      </c>
      <c r="E6" s="25" t="n">
        <v>0.7</v>
      </c>
      <c r="F6" s="15" t="inlineStr">
        <is>
          <t>FEFO работает по партиям с единым сроком. Пучки и кочаны открытого грунта живут в другом канале</t>
        </is>
      </c>
    </row>
    <row r="7" ht="30" customHeight="1">
      <c r="A7" s="15" t="inlineStr"/>
      <c r="B7" s="15" t="inlineStr">
        <is>
          <t>Продажа через сети, у которых есть РЦ (не опт, не HoReCa, не рынок)</t>
        </is>
      </c>
      <c r="C7" s="23" t="n">
        <v>0.85</v>
      </c>
      <c r="D7" s="16" t="n">
        <v>12247200000</v>
      </c>
      <c r="E7" s="25" t="n">
        <v>0.595</v>
      </c>
      <c r="F7" s="15" t="inlineStr">
        <is>
          <t>«Дружино»: 85% продаж — федеральные сети. Проблема возникает именно при приёмке в РЦ</t>
        </is>
      </c>
    </row>
    <row r="8" ht="30" customHeight="1">
      <c r="A8" s="15" t="inlineStr"/>
      <c r="B8" s="15" t="inlineStr">
        <is>
          <t>Производитель от 1 млн голов/год (есть логист, ОТК и ИТ-контур)</t>
        </is>
      </c>
      <c r="C8" s="23" t="n">
        <v>0.55</v>
      </c>
      <c r="D8" s="16" t="n">
        <v>6735960000</v>
      </c>
      <c r="E8" s="25" t="n">
        <v>0.32725</v>
      </c>
      <c r="F8" s="15" t="inlineStr">
        <is>
          <t>Малому хозяйству подписка не по карману и не нужна: нет отдельного логиста и споров с сетью</t>
        </is>
      </c>
    </row>
    <row r="9">
      <c r="A9" s="15" t="inlineStr"/>
      <c r="B9" s="15" t="inlineStr">
        <is>
          <t>SAM, ₽/год оборота салата</t>
        </is>
      </c>
      <c r="C9" s="15" t="inlineStr"/>
      <c r="D9" s="20" t="n">
        <v>6735960000</v>
      </c>
      <c r="E9" s="15" t="inlineStr"/>
      <c r="F9" s="15" t="inlineStr">
        <is>
          <t>≈ 6.7 млрд ₽</t>
        </is>
      </c>
    </row>
    <row r="10">
      <c r="A10" s="17" t="inlineStr"/>
      <c r="B10" s="17" t="inlineStr">
        <is>
          <t>SAM в головах</t>
        </is>
      </c>
      <c r="C10" s="17" t="inlineStr"/>
      <c r="D10" s="18" t="n">
        <v>149688000</v>
      </c>
      <c r="E10" s="17" t="inlineStr">
        <is>
          <t>голов/год</t>
        </is>
      </c>
      <c r="F10" s="17" t="inlineStr">
        <is>
          <t>≈ 150 млн голов — это ~40 хозяйств среднего размера (3–4 млн голов/год)</t>
        </is>
      </c>
    </row>
    <row r="11">
      <c r="A11" s="15" t="inlineStr"/>
      <c r="B11" s="15" t="inlineStr">
        <is>
          <t>SAM в тоннах</t>
        </is>
      </c>
      <c r="C11" s="15" t="inlineStr"/>
      <c r="D11" s="16" t="n">
        <v>12723</v>
      </c>
      <c r="E11" s="15" t="inlineStr">
        <is>
          <t>т/год</t>
        </is>
      </c>
      <c r="F11" s="15" t="inlineStr"/>
    </row>
    <row r="13">
      <c r="B13" s="3" t="inlineStr">
        <is>
          <t>Тот же SAM в валюте «наш продукт»</t>
        </is>
      </c>
    </row>
    <row r="14" ht="30" customHeight="1">
      <c r="A14" s="15" t="inlineStr"/>
      <c r="B14" s="15" t="inlineStr">
        <is>
          <t>Потери клиентов SAM (списания + вычеты)</t>
        </is>
      </c>
      <c r="C14" s="22" t="n">
        <v>0.06</v>
      </c>
      <c r="D14" s="16" t="n">
        <v>404157600</v>
      </c>
      <c r="E14" s="15" t="inlineStr">
        <is>
          <t>₽/год</t>
        </is>
      </c>
      <c r="F14" s="15" t="inlineStr">
        <is>
          <t>6% от оборота: АКОРТ — до 7% закупок в пищевые отходы, 70% из них овощи и фрукты</t>
        </is>
      </c>
    </row>
    <row r="15">
      <c r="A15" s="15" t="inlineStr"/>
      <c r="B15" s="15" t="inlineStr">
        <is>
          <t>Доля потерь, которую снимает FEFO+</t>
        </is>
      </c>
      <c r="C15" s="22" t="n">
        <v>0.72</v>
      </c>
      <c r="D15" s="16" t="n">
        <v>290993472</v>
      </c>
      <c r="E15" s="15" t="inlineStr">
        <is>
          <t>₽/год</t>
        </is>
      </c>
      <c r="F15" s="15" t="inlineStr">
        <is>
          <t>из MVP-симуляции: −75% от базы</t>
        </is>
      </c>
    </row>
    <row r="16" ht="28" customHeight="1">
      <c r="A16" s="15" t="inlineStr"/>
      <c r="B16" s="15" t="inlineStr">
        <is>
          <t>Наша ставка — % от подтверждённой экономии</t>
        </is>
      </c>
      <c r="C16" s="22" t="n">
        <v>0.1</v>
      </c>
      <c r="D16" s="15" t="inlineStr"/>
      <c r="E16" s="15" t="inlineStr"/>
      <c r="F16" s="15" t="inlineStr">
        <is>
          <t>модель монетизации: платит клиент, но только из сэкономленного</t>
        </is>
      </c>
    </row>
    <row r="17">
      <c r="A17" s="15" t="inlineStr"/>
      <c r="B17" s="15" t="inlineStr">
        <is>
          <t>SAM нашего сервиса</t>
        </is>
      </c>
      <c r="C17" s="15" t="inlineStr"/>
      <c r="D17" s="26" t="n">
        <v>29099347</v>
      </c>
      <c r="E17" s="15" t="inlineStr">
        <is>
          <t>₽/год</t>
        </is>
      </c>
      <c r="F17" s="15" t="inlineStr">
        <is>
          <t>≈ 29 млн ₽/год — потолок вертикального SaaS в этой нише</t>
        </is>
      </c>
    </row>
    <row r="19" ht="48" customHeight="1">
      <c r="B19" s="24" t="inlineStr">
        <is>
          <t>ВЫВОД ДЛЯ СЛАЙДА:  SAM ≈ 6.7 млрд ₽ оборота (≈ 150 млн голов, ≈ 12.7 тыс. т) — это ~40 хозяйств среднего размера. В валюте нашего продукта SAM ≈ 29 млн ₽/год.</t>
        </is>
      </c>
    </row>
  </sheetData>
  <mergeCells count="1">
    <mergeCell ref="B19:F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5" customWidth="1" min="3" max="3"/>
    <col width="18" customWidth="1" min="4" max="4"/>
    <col width="62" customWidth="1" min="5" max="5"/>
  </cols>
  <sheetData>
    <row r="1">
      <c r="B1" s="7" t="inlineStr">
        <is>
          <t>SOM — что реально забрать за 3 года</t>
        </is>
      </c>
    </row>
    <row r="2">
      <c r="B2" s="2" t="inlineStr">
        <is>
          <t>Старт: Омск («Дружино») → Сибирь → Урал. Якорь — референс от сети</t>
        </is>
      </c>
    </row>
    <row r="4">
      <c r="A4" s="8" t="inlineStr"/>
      <c r="B4" s="8" t="inlineStr">
        <is>
          <t>Шаг</t>
        </is>
      </c>
      <c r="C4" s="8" t="inlineStr">
        <is>
          <t>Значение</t>
        </is>
      </c>
      <c r="D4" s="8" t="inlineStr">
        <is>
          <t>Результат</t>
        </is>
      </c>
      <c r="E4" s="8" t="inlineStr">
        <is>
          <t>Обоснование</t>
        </is>
      </c>
    </row>
    <row r="5">
      <c r="A5" s="15" t="inlineStr"/>
      <c r="B5" s="15" t="inlineStr">
        <is>
          <t>SAM, оборот салата</t>
        </is>
      </c>
      <c r="C5" s="15" t="inlineStr"/>
      <c r="D5" s="16" t="n">
        <v>6735960000</v>
      </c>
      <c r="E5" s="15" t="inlineStr">
        <is>
          <t>₽/год</t>
        </is>
      </c>
    </row>
    <row r="6" ht="28" customHeight="1">
      <c r="A6" s="15" t="inlineStr"/>
      <c r="B6" s="15" t="inlineStr">
        <is>
          <t>Доля географии: Сибирь + Урал (+ ДВ)</t>
        </is>
      </c>
      <c r="C6" s="22" t="n">
        <v>0.2</v>
      </c>
      <c r="D6" s="15" t="inlineStr"/>
      <c r="E6" s="15" t="inlineStr">
        <is>
          <t>≈20% оборота салата РФ: СФО и УФО дают 17% населения плюс местные теплицы</t>
        </is>
      </c>
    </row>
    <row r="7">
      <c r="A7" s="17" t="inlineStr"/>
      <c r="B7" s="17" t="inlineStr">
        <is>
          <t>Доступный рынок (наша досягаемость)</t>
        </is>
      </c>
      <c r="C7" s="17" t="inlineStr"/>
      <c r="D7" s="18" t="n">
        <v>1347192000</v>
      </c>
      <c r="E7" s="17" t="inlineStr">
        <is>
          <t>₽/год</t>
        </is>
      </c>
    </row>
    <row r="8" ht="28" customHeight="1">
      <c r="A8" s="15" t="inlineStr"/>
      <c r="B8" s="15" t="inlineStr">
        <is>
          <t>Хозяйств масштаба «Дружино» в Сибири и на Урале</t>
        </is>
      </c>
      <c r="C8" s="16" t="n">
        <v>12</v>
      </c>
      <c r="D8" s="15" t="inlineStr"/>
      <c r="E8" s="15" t="inlineStr">
        <is>
          <t>шт.: Омск, Новосибирск (Горкунов), Екатеринбург (Мистер Грин), Тюмень (Прованс), Барнаул, Красноярск, Иркутск</t>
        </is>
      </c>
    </row>
    <row r="9">
      <c r="A9" s="15" t="inlineStr"/>
      <c r="B9" s="15" t="inlineStr">
        <is>
          <t>Из них работают с ФС и имеют поставки в РЦ</t>
        </is>
      </c>
      <c r="C9" s="25" t="n">
        <v>0.5</v>
      </c>
      <c r="D9" s="15" t="inlineStr"/>
      <c r="E9" s="15" t="inlineStr">
        <is>
          <t>доля</t>
        </is>
      </c>
    </row>
    <row r="10">
      <c r="A10" s="17" t="inlineStr"/>
      <c r="B10" s="17" t="inlineStr">
        <is>
          <t>Целевых клиентов в досягаемости</t>
        </is>
      </c>
      <c r="C10" s="17" t="inlineStr"/>
      <c r="D10" s="18" t="n">
        <v>6</v>
      </c>
      <c r="E10" s="17" t="inlineStr">
        <is>
          <t>шт.</t>
        </is>
      </c>
    </row>
    <row r="12">
      <c r="B12" s="3" t="inlineStr">
        <is>
          <t>Трёхлетний план: две линейки выручки</t>
        </is>
      </c>
    </row>
    <row r="13">
      <c r="A13" s="27" t="inlineStr"/>
      <c r="B13" s="27" t="inlineStr">
        <is>
          <t>Год</t>
        </is>
      </c>
      <c r="C13" s="27" t="inlineStr">
        <is>
          <t>Хозяйств / РЦ, шт.</t>
        </is>
      </c>
      <c r="D13" s="27" t="inlineStr">
        <is>
          <t>Выручка, ₽/год</t>
        </is>
      </c>
      <c r="E13" s="27" t="inlineStr">
        <is>
          <t>Что делаем</t>
        </is>
      </c>
    </row>
    <row r="14" ht="44" customHeight="1">
      <c r="A14" s="15" t="inlineStr"/>
      <c r="B14" s="15" t="inlineStr">
        <is>
          <t>2027</t>
        </is>
      </c>
      <c r="C14" s="15" t="inlineStr">
        <is>
          <t>1 / 0</t>
        </is>
      </c>
      <c r="D14" s="16" t="n">
        <v>270000</v>
      </c>
      <c r="E14" s="15" t="inlineStr">
        <is>
          <t>«Дружино» — якорный пилот. Подписка 240 тыс. ₽/год + внедрение 30 тыс. ₽. Задача года — не деньги, а кейс с цифрами</t>
        </is>
      </c>
    </row>
    <row r="15" ht="44" customHeight="1">
      <c r="A15" s="15" t="inlineStr"/>
      <c r="B15" s="15" t="inlineStr">
        <is>
          <t>2028</t>
        </is>
      </c>
      <c r="C15" s="15" t="inlineStr">
        <is>
          <t>3 / 1</t>
        </is>
      </c>
      <c r="D15" s="16" t="n">
        <v>2010000</v>
      </c>
      <c r="E15" s="15" t="inlineStr">
        <is>
          <t>Новосибирск, Екатеринбург, Барнаул. Первый РЦ покупает модуль: он видит, что алгоритм снижает и его списания</t>
        </is>
      </c>
    </row>
    <row r="16" ht="44" customHeight="1">
      <c r="A16" s="15" t="inlineStr"/>
      <c r="B16" s="15" t="inlineStr">
        <is>
          <t>2029</t>
        </is>
      </c>
      <c r="C16" s="15" t="inlineStr">
        <is>
          <t>6 / 3</t>
        </is>
      </c>
      <c r="D16" s="16" t="n">
        <v>5220000</v>
      </c>
      <c r="E16" s="15" t="inlineStr">
        <is>
          <t>Тюмень, Красноярск, Поволжье. Расширение на огурец, томат, ягоды: тот же алгоритм, другая категория</t>
        </is>
      </c>
    </row>
    <row r="18">
      <c r="A18" s="15" t="inlineStr"/>
      <c r="B18" s="15" t="inlineStr">
        <is>
          <t>SOM 2029 в натуральном выражении</t>
        </is>
      </c>
      <c r="C18" s="16" t="n">
        <v>16344000</v>
      </c>
      <c r="D18" s="15" t="inlineStr">
        <is>
          <t>голов/год</t>
        </is>
      </c>
      <c r="E18" s="15" t="inlineStr">
        <is>
          <t>6 хозяйств × 227 тыс. × 12</t>
        </is>
      </c>
    </row>
    <row r="19" ht="30" customHeight="1">
      <c r="A19" s="15" t="inlineStr"/>
      <c r="B19" s="15" t="inlineStr">
        <is>
          <t>SOM 2029, % от SAM в натуральном выражении</t>
        </is>
      </c>
      <c r="C19" s="22" t="n">
        <v>0.1091871091871092</v>
      </c>
      <c r="D19" s="15" t="inlineStr"/>
      <c r="E19" s="15" t="inlineStr">
        <is>
          <t>≈ 11% SAM за 3 года — при 6 целевых хозяйствах в регионе</t>
        </is>
      </c>
    </row>
    <row r="20" ht="30" customHeight="1">
      <c r="A20" s="15" t="inlineStr"/>
      <c r="B20" s="15" t="inlineStr">
        <is>
          <t>SOM 2029, % от доступного рынка в деньгах</t>
        </is>
      </c>
      <c r="C20" s="28" t="n">
        <v>0.003874726096948319</v>
      </c>
      <c r="D20" s="15" t="inlineStr"/>
      <c r="E20" s="15" t="inlineStr">
        <is>
          <t>5.2 млн ₽ против 1347 млн ₽ оборота салата в досягаемости. Мы берём не оборот, а 10% от экономии — поэтому доля мала</t>
        </is>
      </c>
    </row>
    <row r="22" ht="62" customHeight="1">
      <c r="B22" s="24" t="inlineStr">
        <is>
          <t>ВЫВОД ДЛЯ СЛАЙДА:  SOM 2027 — 1 клиент / 270 тыс. ₽ (задача года — не деньги, а кейс с цифрами). SOM 2029 — 6 хозяйств и 3 РЦ / 5.2 млн ₽ выручки. Растимся не вширь по географии, а вглубь: второй клиент — сам РЦ сети, у него ARPU в 4–5 раз выше.</t>
        </is>
      </c>
    </row>
    <row r="24">
      <c r="B24" s="3" t="inlineStr">
        <is>
          <t>Почему это реалистично</t>
        </is>
      </c>
    </row>
    <row r="25" ht="28" customHeight="1">
      <c r="B25" s="29" t="inlineStr">
        <is>
          <t>1. Один клиент = один договор. Цикл сделки 1–2 месяца: не нужно оборудования, только выгрузка из системы РЦ и справочник магазинов.</t>
        </is>
      </c>
    </row>
    <row r="26" ht="28" customHeight="1">
      <c r="B26" s="29" t="inlineStr">
        <is>
          <t>2. Рынок Сибири и Урала проверяем глазами: Омск («Дружино»), Новосибирск (Горкунов), Екатеринбург («Мистер Грин»), Тюмень («Прованс») — это уже список звонков на первый месяц.</t>
        </is>
      </c>
    </row>
    <row r="27" ht="28" customHeight="1">
      <c r="B27" s="29" t="inlineStr">
        <is>
          <t>3. Сеть — союзник, а не препятствие: FEFO+ снижает и её списания, поэтому сеть сама рекомендует поставщика другим хозяйствам. Это и есть канал продаж.</t>
        </is>
      </c>
    </row>
    <row r="28" ht="28" customHeight="1">
      <c r="B28" s="29" t="inlineStr">
        <is>
          <t>4. Прямых конкурентов в вертикали нет: FEFO живёт в WMS у сети, но не у поставщика. Наши конкуренты — Excel, звонки логиста и «как получится».</t>
        </is>
      </c>
    </row>
    <row r="29" ht="28" customHeight="1">
      <c r="B29" s="29" t="inlineStr">
        <is>
          <t>5. Путь роста без новых разработок: тот же алгоритм продаётся РЦ как модуль и работает на любом скоропорте — огурец, томат, ягоды, грибы.</t>
        </is>
      </c>
    </row>
  </sheetData>
  <mergeCells count="6">
    <mergeCell ref="B26:E26"/>
    <mergeCell ref="B27:E27"/>
    <mergeCell ref="B29:E29"/>
    <mergeCell ref="B25:E25"/>
    <mergeCell ref="B28:E28"/>
    <mergeCell ref="B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6" customWidth="1" min="3" max="3"/>
    <col width="14" customWidth="1" min="4" max="4"/>
    <col width="60" customWidth="1" min="5" max="5"/>
  </cols>
  <sheetData>
    <row r="1">
      <c r="B1" s="7" t="inlineStr">
        <is>
          <t>Юнит-экономика: одна голова салата и один клиент</t>
        </is>
      </c>
    </row>
    <row r="3">
      <c r="B3" s="30" t="inlineStr">
        <is>
          <t>НА ОДНУ ГОЛОВУ</t>
        </is>
      </c>
    </row>
    <row r="4">
      <c r="A4" s="8" t="inlineStr"/>
      <c r="B4" s="8" t="inlineStr">
        <is>
          <t>Показатель</t>
        </is>
      </c>
      <c r="C4" s="8" t="inlineStr">
        <is>
          <t>Значение</t>
        </is>
      </c>
      <c r="D4" s="8" t="inlineStr">
        <is>
          <t>Ед.</t>
        </is>
      </c>
      <c r="E4" s="8" t="inlineStr">
        <is>
          <t>Комментарий</t>
        </is>
      </c>
    </row>
    <row r="5">
      <c r="A5" s="15" t="inlineStr"/>
      <c r="B5" s="15" t="inlineStr">
        <is>
          <t>Отпускная цена производителя</t>
        </is>
      </c>
      <c r="C5" s="31" t="n">
        <v>45</v>
      </c>
      <c r="D5" s="15" t="inlineStr">
        <is>
          <t>₽</t>
        </is>
      </c>
      <c r="E5" s="15" t="inlineStr">
        <is>
          <t>допущение</t>
        </is>
      </c>
    </row>
    <row r="6" ht="30" customHeight="1">
      <c r="A6" s="15" t="inlineStr"/>
      <c r="B6" s="15" t="inlineStr">
        <is>
          <t>Переменные затраты (торф, семена, удобрения, труд, упаковка, логистика)</t>
        </is>
      </c>
      <c r="C6" s="31" t="n">
        <v>42.5</v>
      </c>
      <c r="D6" s="15" t="inlineStr">
        <is>
          <t>₽</t>
        </is>
      </c>
      <c r="E6" s="15" t="inlineStr">
        <is>
          <t>допущение</t>
        </is>
      </c>
    </row>
    <row r="7">
      <c r="A7" s="17" t="inlineStr"/>
      <c r="B7" s="17" t="inlineStr">
        <is>
          <t>Маржинальная прибыль</t>
        </is>
      </c>
      <c r="C7" s="32" t="n">
        <v>2.5</v>
      </c>
      <c r="D7" s="17" t="inlineStr">
        <is>
          <t>₽</t>
        </is>
      </c>
      <c r="E7" s="17">
        <f> 45,00 − 42,50</f>
        <v/>
      </c>
    </row>
    <row r="8" ht="30" customHeight="1">
      <c r="A8" s="15" t="inlineStr"/>
      <c r="B8" s="15" t="inlineStr">
        <is>
          <t>Постоянные затраты (свет, газ, амортизация) на голову</t>
        </is>
      </c>
      <c r="C8" s="31" t="n">
        <v>1.6</v>
      </c>
      <c r="D8" s="15" t="inlineStr">
        <is>
          <t>₽</t>
        </is>
      </c>
      <c r="E8" s="15" t="inlineStr">
        <is>
          <t>допущение: остаток до рентабельности ~2%</t>
        </is>
      </c>
    </row>
    <row r="9" ht="30" customHeight="1">
      <c r="A9" s="17" t="inlineStr"/>
      <c r="B9" s="17" t="inlineStr">
        <is>
          <t>ОПЕРАЦИОННАЯ ПРИБЫЛЬ</t>
        </is>
      </c>
      <c r="C9" s="32" t="n">
        <v>0.9</v>
      </c>
      <c r="D9" s="17" t="inlineStr">
        <is>
          <t>₽</t>
        </is>
      </c>
      <c r="E9" s="17">
        <f> 2,5% от цены — ровно та рентабельность 2%, о которой говорит отрасль</f>
        <v/>
      </c>
    </row>
    <row r="10" ht="28" customHeight="1">
      <c r="A10" s="15" t="inlineStr"/>
      <c r="B10" s="15" t="inlineStr">
        <is>
          <t>Потери «как сейчас» на голову</t>
        </is>
      </c>
      <c r="C10" s="31" t="n">
        <v>0.89</v>
      </c>
      <c r="D10" s="15" t="inlineStr">
        <is>
          <t>₽</t>
        </is>
      </c>
      <c r="E10" s="15" t="inlineStr">
        <is>
          <t>списание 1,17% × (45+2,5) + 33% с коротким RSL × 1 ₽</t>
        </is>
      </c>
    </row>
    <row r="11">
      <c r="A11" s="15" t="inlineStr"/>
      <c r="B11" s="15" t="inlineStr">
        <is>
          <t>Потери на голову после FEFO+</t>
        </is>
      </c>
      <c r="C11" s="31" t="n">
        <v>0.14</v>
      </c>
      <c r="D11" s="15" t="inlineStr">
        <is>
          <t>₽</t>
        </is>
      </c>
      <c r="E11" s="15" t="inlineStr">
        <is>
          <t>списания 0,3%, партий с коротким RSL нет</t>
        </is>
      </c>
    </row>
    <row r="12" ht="28" customHeight="1">
      <c r="A12" s="15" t="inlineStr"/>
      <c r="B12" s="15" t="inlineStr">
        <is>
          <t>Потери почти равны прибыли: 0,89 ₽ против 0,90 ₽</t>
        </is>
      </c>
      <c r="C12" s="15" t="inlineStr"/>
      <c r="D12" s="15" t="inlineStr">
        <is>
          <t>—</t>
        </is>
      </c>
      <c r="E12" s="15" t="inlineStr">
        <is>
          <t>Вот почему для хозяйства это не «оптимизация», а вопрос выживания</t>
        </is>
      </c>
    </row>
    <row r="13" ht="30" customHeight="1">
      <c r="A13" s="15" t="inlineStr"/>
      <c r="B13" s="15" t="inlineStr">
        <is>
          <t>ЭКОНОМИЯ НА ГОЛОВУ</t>
        </is>
      </c>
      <c r="C13" s="33" t="n">
        <v>0.75</v>
      </c>
      <c r="D13" s="15" t="inlineStr">
        <is>
          <t>₽</t>
        </is>
      </c>
      <c r="E13" s="15" t="inlineStr">
        <is>
          <t>прибыль с головы растёт с 0,90 до 0.76 ₽ (+83%)</t>
        </is>
      </c>
    </row>
    <row r="15">
      <c r="B15" s="30" t="inlineStr">
        <is>
          <t>НА ОДНОГО КЛИЕНТА (227 тыс. голов/мес, 85% в сети)</t>
        </is>
      </c>
    </row>
    <row r="16">
      <c r="A16" s="15" t="inlineStr"/>
      <c r="B16" s="15" t="inlineStr">
        <is>
          <t>Объём в сети</t>
        </is>
      </c>
      <c r="C16" s="16" t="n">
        <v>2315400</v>
      </c>
      <c r="D16" s="15" t="inlineStr">
        <is>
          <t>голов/год</t>
        </is>
      </c>
      <c r="E16" s="15" t="inlineStr">
        <is>
          <t>по данным интервью</t>
        </is>
      </c>
    </row>
    <row r="17">
      <c r="A17" s="15" t="inlineStr"/>
      <c r="B17" s="15" t="inlineStr">
        <is>
          <t>Оборот клиента в сети</t>
        </is>
      </c>
      <c r="C17" s="16" t="n">
        <v>104193000</v>
      </c>
      <c r="D17" s="15" t="inlineStr">
        <is>
          <t>₽/год</t>
        </is>
      </c>
      <c r="E17" s="15" t="inlineStr"/>
    </row>
    <row r="18">
      <c r="A18" s="15" t="inlineStr"/>
      <c r="B18" s="15" t="inlineStr">
        <is>
          <t>Потери клиента «как сейчас»</t>
        </is>
      </c>
      <c r="C18" s="16" t="n">
        <v>2057812</v>
      </c>
      <c r="D18" s="15" t="inlineStr">
        <is>
          <t>₽/год</t>
        </is>
      </c>
      <c r="E18" s="15" t="inlineStr">
        <is>
          <t>списания + вычеты</t>
        </is>
      </c>
    </row>
    <row r="19">
      <c r="A19" s="15" t="inlineStr"/>
      <c r="B19" s="15" t="inlineStr">
        <is>
          <t>Потери после FEFO+</t>
        </is>
      </c>
      <c r="C19" s="16" t="n">
        <v>329945</v>
      </c>
      <c r="D19" s="15" t="inlineStr">
        <is>
          <t>₽/год</t>
        </is>
      </c>
      <c r="E19" s="15" t="inlineStr"/>
    </row>
    <row r="20">
      <c r="A20" s="15" t="inlineStr"/>
      <c r="B20" s="15" t="inlineStr">
        <is>
          <t>ЭКОНОМИЯ КЛИЕНТА</t>
        </is>
      </c>
      <c r="C20" s="26" t="n">
        <v>1727867</v>
      </c>
      <c r="D20" s="15" t="inlineStr">
        <is>
          <t>₽/год</t>
        </is>
      </c>
      <c r="E20" s="15" t="inlineStr">
        <is>
          <t>главная цифра для разговора с клиентом</t>
        </is>
      </c>
    </row>
    <row r="21" ht="28" customHeight="1">
      <c r="A21" s="15" t="inlineStr"/>
      <c r="B21" s="15" t="inlineStr">
        <is>
          <t>Экономия, % от оборота</t>
        </is>
      </c>
      <c r="C21" s="22" t="n">
        <v>0.01658333333333333</v>
      </c>
      <c r="D21" s="15" t="inlineStr">
        <is>
          <t>%</t>
        </is>
      </c>
      <c r="E21" s="15" t="inlineStr">
        <is>
          <t>1.7% оборота — при рентабельности 2% это +83% к прибыли хозяйства</t>
        </is>
      </c>
    </row>
    <row r="22">
      <c r="A22" s="17" t="inlineStr"/>
      <c r="B22" s="17" t="inlineStr">
        <is>
          <t>Цена подписки (хозяйство)</t>
        </is>
      </c>
      <c r="C22" s="18" t="n">
        <v>240000</v>
      </c>
      <c r="D22" s="17" t="inlineStr">
        <is>
          <t>₽/год</t>
        </is>
      </c>
      <c r="E22" s="17" t="inlineStr">
        <is>
          <t>10% от экономии, минимум 240 тыс.</t>
        </is>
      </c>
    </row>
    <row r="23" ht="30" customHeight="1">
      <c r="A23" s="15" t="inlineStr"/>
      <c r="B23" s="15" t="inlineStr">
        <is>
          <t>Цена подписки, % от экономии</t>
        </is>
      </c>
      <c r="C23" s="22" t="n">
        <v>0.1388995595581779</v>
      </c>
      <c r="D23" s="15" t="inlineStr">
        <is>
          <t>%</t>
        </is>
      </c>
      <c r="E23" s="15" t="inlineStr">
        <is>
          <t>минимум 240 тыс. — это 14% от экономии «Дружино»; при эффекте от 2,4 млн ₽ ставка падает до 10%</t>
        </is>
      </c>
    </row>
    <row r="24" ht="28" customHeight="1">
      <c r="A24" s="15" t="inlineStr"/>
      <c r="B24" s="15" t="inlineStr">
        <is>
          <t>Выгода клиента / его затраты</t>
        </is>
      </c>
      <c r="C24" s="34" t="n">
        <v>7.2</v>
      </c>
      <c r="D24" s="15" t="inlineStr">
        <is>
          <t>×</t>
        </is>
      </c>
      <c r="E24" s="15" t="inlineStr">
        <is>
          <t>должно быть &gt; 1, иначе не купят. Здесь 7.2×</t>
        </is>
      </c>
    </row>
    <row r="25">
      <c r="A25" s="15" t="inlineStr"/>
      <c r="B25" s="15" t="inlineStr">
        <is>
          <t>Окупаемость подписки для клиента</t>
        </is>
      </c>
      <c r="C25" s="21" t="n">
        <v>1.7</v>
      </c>
      <c r="D25" s="15" t="inlineStr">
        <is>
          <t>мес.</t>
        </is>
      </c>
      <c r="E25" s="15" t="inlineStr">
        <is>
          <t>считается от полного годового эффекта</t>
        </is>
      </c>
    </row>
    <row r="27" ht="48" customHeight="1">
      <c r="B27" s="35" t="inlineStr">
        <is>
          <t>ЗАЩИТА ОТ ВОПРОСА «А ЕСЛИ ЭФФЕКТ БУДЕТ МЕНЬШЕ?»  Даже если реальный эффект окажется вдвое ниже модельного (0.37 ₽ на голову), клиент всё равно выигрывает в 3.6 раза. Порог безубыточности для клиента — сокращение потерь всего на 7% от базового уровня.</t>
        </is>
      </c>
    </row>
  </sheetData>
  <mergeCells count="1">
    <mergeCell ref="B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B1" s="7" t="inlineStr">
        <is>
          <t>MVP: симуляция 90 дней · 120 магазинов · 227 тыс. голов/мес</t>
        </is>
      </c>
    </row>
    <row r="2">
      <c r="B2" s="2" t="inlineStr">
        <is>
          <t>Код: src/fefo_plus_mvp.py — результаты воспроизводятся запуском файла</t>
        </is>
      </c>
    </row>
    <row r="4">
      <c r="A4" s="8" t="inlineStr"/>
      <c r="B4" s="8" t="inlineStr">
        <is>
          <t>Показатель</t>
        </is>
      </c>
      <c r="C4" s="8" t="inlineStr">
        <is>
          <t>Как сейчас</t>
        </is>
      </c>
      <c r="D4" s="8" t="inlineStr">
        <is>
          <t>FEFO+</t>
        </is>
      </c>
      <c r="E4" s="8" t="inlineStr">
        <is>
          <t>Эффект</t>
        </is>
      </c>
      <c r="F4" s="8" t="inlineStr">
        <is>
          <t>Как считано</t>
        </is>
      </c>
    </row>
    <row r="5" ht="28" customHeight="1">
      <c r="A5" s="15" t="inlineStr"/>
      <c r="B5" s="15" t="inlineStr">
        <is>
          <t>Отгружено производителем, голов</t>
        </is>
      </c>
      <c r="C5" s="16" t="n">
        <v>614546</v>
      </c>
      <c r="D5" s="16" t="n">
        <v>592468</v>
      </c>
      <c r="E5" s="16" t="n"/>
      <c r="F5" s="15" t="inlineStr">
        <is>
          <t>за 90 дней, 85% в сети</t>
        </is>
      </c>
    </row>
    <row r="6" ht="28" customHeight="1">
      <c r="A6" s="15" t="inlineStr"/>
      <c r="B6" s="15" t="inlineStr">
        <is>
          <t>Продано в сети, голов</t>
        </is>
      </c>
      <c r="C6" s="16" t="n">
        <v>579066</v>
      </c>
      <c r="D6" s="16" t="n">
        <v>570855</v>
      </c>
      <c r="E6" s="16" t="n"/>
      <c r="F6" s="15" t="inlineStr">
        <is>
          <t>почти столько же: алгоритм не заваливает полку, разница — плата за отсутствие вычетов</t>
        </is>
      </c>
    </row>
    <row r="7" ht="28" customHeight="1">
      <c r="A7" s="15" t="inlineStr"/>
      <c r="B7" s="15" t="inlineStr">
        <is>
          <t>Списано в магазинах, голов</t>
        </is>
      </c>
      <c r="C7" s="16" t="n">
        <v>7179</v>
      </c>
      <c r="D7" s="16" t="n">
        <v>1786</v>
      </c>
      <c r="E7" s="16" t="n">
        <v>5393</v>
      </c>
      <c r="F7" s="15" t="inlineStr">
        <is>
          <t>истёк срок годности на полке</t>
        </is>
      </c>
    </row>
    <row r="8" ht="28" customHeight="1">
      <c r="A8" s="15" t="inlineStr"/>
      <c r="B8" s="15" t="inlineStr">
        <is>
          <t>Списания, % от отгрузки</t>
        </is>
      </c>
      <c r="C8" s="22" t="n">
        <v>0.0117</v>
      </c>
      <c r="D8" s="22" t="n">
        <v>0.003</v>
      </c>
      <c r="E8" s="22" t="n">
        <v>-0.008699999999999999</v>
      </c>
      <c r="F8" s="15" t="inlineStr">
        <is>
          <t>ключевая метрика потерь</t>
        </is>
      </c>
    </row>
    <row r="9" ht="28" customHeight="1">
      <c r="A9" s="15" t="inlineStr"/>
      <c r="B9" s="15" t="inlineStr">
        <is>
          <t>Партий с коротким остаточным сроком, голов</t>
        </is>
      </c>
      <c r="C9" s="16" t="n">
        <v>204849</v>
      </c>
      <c r="D9" s="16" t="n">
        <v>0</v>
      </c>
      <c r="E9" s="16" t="n">
        <v>204849</v>
      </c>
      <c r="F9" s="15" t="inlineStr">
        <is>
          <t>RSL ниже 60% — сеть урезает заявку</t>
        </is>
      </c>
    </row>
    <row r="10" ht="28" customHeight="1">
      <c r="A10" s="15" t="inlineStr"/>
      <c r="B10" s="15" t="inlineStr">
        <is>
          <t>Доля с коротким RSL</t>
        </is>
      </c>
      <c r="C10" s="22" t="n">
        <v>0.333</v>
      </c>
      <c r="D10" s="22" t="n">
        <v>0</v>
      </c>
      <c r="E10" s="22" t="n">
        <v>-0.333</v>
      </c>
      <c r="F10" s="15" t="inlineStr">
        <is>
          <t>главный источник потерь</t>
        </is>
      </c>
    </row>
    <row r="11" ht="28" customHeight="1">
      <c r="A11" s="15" t="inlineStr"/>
      <c r="B11" s="15" t="inlineStr">
        <is>
          <t>Вычеты сети, ₽</t>
        </is>
      </c>
      <c r="C11" s="16" t="n">
        <v>204849</v>
      </c>
      <c r="D11" s="16" t="n">
        <v>0</v>
      </c>
      <c r="E11" s="16" t="n">
        <v>204849</v>
      </c>
      <c r="F11" s="15" t="inlineStr">
        <is>
          <t>1 ₽/голова (консервативно)</t>
        </is>
      </c>
    </row>
    <row r="12" ht="28" customHeight="1">
      <c r="A12" s="17" t="inlineStr"/>
      <c r="B12" s="17" t="inlineStr">
        <is>
          <t>ПОТЕРИ В ДЕНЬГАХ, ₽</t>
        </is>
      </c>
      <c r="C12" s="18" t="n">
        <v>545844</v>
      </c>
      <c r="D12" s="18" t="n">
        <v>84850</v>
      </c>
      <c r="E12" s="18" t="n">
        <v>460994</v>
      </c>
      <c r="F12" s="17" t="inlineStr">
        <is>
          <t>списания × (цена+логистика) + вычеты</t>
        </is>
      </c>
    </row>
    <row r="14">
      <c r="A14" s="15" t="inlineStr"/>
      <c r="B14" s="15" t="inlineStr">
        <is>
          <t>ЭКОНОМИЯ ЗА 90 ДНЕЙ</t>
        </is>
      </c>
      <c r="C14" s="15" t="inlineStr"/>
      <c r="D14" s="15" t="inlineStr"/>
      <c r="E14" s="26" t="n">
        <v>460994</v>
      </c>
      <c r="F14" s="15" t="inlineStr">
        <is>
          <t>₽</t>
        </is>
      </c>
    </row>
    <row r="15">
      <c r="A15" s="15" t="inlineStr"/>
      <c r="B15" s="15" t="inlineStr">
        <is>
          <t>ЭКОНОМИЯ В ГОДОВОМ ВЫРАЖЕНИИ</t>
        </is>
      </c>
      <c r="C15" s="15" t="inlineStr"/>
      <c r="D15" s="15" t="inlineStr"/>
      <c r="E15" s="26" t="n">
        <v>1869587</v>
      </c>
      <c r="F15" s="15" t="inlineStr">
        <is>
          <t>₽ (экстраполяция × 365/90)</t>
        </is>
      </c>
    </row>
    <row r="16">
      <c r="A16" s="15" t="inlineStr"/>
      <c r="B16" s="15" t="inlineStr">
        <is>
          <t>Подписка</t>
        </is>
      </c>
      <c r="C16" s="15" t="inlineStr"/>
      <c r="D16" s="15" t="inlineStr"/>
      <c r="E16" s="16" t="n">
        <v>240000</v>
      </c>
      <c r="F16" s="15" t="inlineStr">
        <is>
          <t>₽/год</t>
        </is>
      </c>
    </row>
    <row r="17">
      <c r="A17" s="15" t="inlineStr"/>
      <c r="B17" s="15" t="inlineStr">
        <is>
          <t>Окупаемость подписки</t>
        </is>
      </c>
      <c r="C17" s="15" t="inlineStr"/>
      <c r="D17" s="15" t="inlineStr"/>
      <c r="E17" s="21" t="n">
        <v>1.5</v>
      </c>
      <c r="F17" s="15" t="inlineStr">
        <is>
          <t>мес.</t>
        </is>
      </c>
    </row>
    <row r="20" ht="50" customHeight="1">
      <c r="B20" s="35" t="inlineStr">
        <is>
          <t>ВАЖНО ДЛЯ ЖЮРИ: это симуляция на данных, откалиброванных под «Дружино», а не замер на предприятии. На годовом объёме (2,32 млн голов в сети) эффект = 1.73 млн ₽/год. На защите берём консервативную оценку — 50% модельного эффекта ≈ 0.9 млн ₽/год. План проверки на реальных данных РЦ — 4–6 недель (см. лист «План теста»).</t>
        </is>
      </c>
    </row>
  </sheetData>
  <mergeCells count="1">
    <mergeCell ref="B20:F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40" customWidth="1" min="3" max="3"/>
    <col width="46" customWidth="1" min="4" max="4"/>
    <col width="34" customWidth="1" min="5" max="5"/>
    <col width="18" customWidth="1" min="6" max="6"/>
  </cols>
  <sheetData>
    <row r="1">
      <c r="B1" s="7" t="inlineStr">
        <is>
          <t>План проверки на реальных данных: 4–6 недель</t>
        </is>
      </c>
    </row>
    <row r="2">
      <c r="B2" s="2" t="inlineStr">
        <is>
          <t>Что делаем, что измеряем, сколько стоит и как поймём, что сработало</t>
        </is>
      </c>
    </row>
    <row r="4">
      <c r="A4" s="8" t="inlineStr"/>
      <c r="B4" s="8" t="inlineStr">
        <is>
          <t>Неделя</t>
        </is>
      </c>
      <c r="C4" s="8" t="inlineStr">
        <is>
          <t>Шаг</t>
        </is>
      </c>
      <c r="D4" s="8" t="inlineStr">
        <is>
          <t>Что делаем</t>
        </is>
      </c>
      <c r="E4" s="8" t="inlineStr">
        <is>
          <t>Что измеряем</t>
        </is>
      </c>
      <c r="F4" s="8" t="inlineStr">
        <is>
          <t>Стоимость</t>
        </is>
      </c>
    </row>
    <row r="5" ht="52" customHeight="1">
      <c r="A5" s="15" t="inlineStr"/>
      <c r="B5" s="15" t="inlineStr">
        <is>
          <t>1</t>
        </is>
      </c>
      <c r="C5" s="15" t="inlineStr">
        <is>
          <t>Доступ к данным</t>
        </is>
      </c>
      <c r="D5" s="15" t="inlineStr">
        <is>
          <t>Запрашиваем у «Дружино» выгрузку за 3 месяца: отгрузки по дням, заявки сетей, приёмки РЦ, списания по магазинам, договорные условия по RSL</t>
        </is>
      </c>
      <c r="E5" s="15" t="inlineStr">
        <is>
          <t>Есть ли данные вообще; доля списаний (факт, а не допущение)</t>
        </is>
      </c>
      <c r="F5" s="15" t="inlineStr">
        <is>
          <t>0 ₽</t>
        </is>
      </c>
    </row>
    <row r="6" ht="52" customHeight="1">
      <c r="A6" s="15" t="inlineStr"/>
      <c r="B6" s="15" t="inlineStr">
        <is>
          <t>2</t>
        </is>
      </c>
      <c r="C6" s="15" t="inlineStr">
        <is>
          <t>Ручная имитация</t>
        </is>
      </c>
      <c r="D6" s="15" t="inlineStr">
        <is>
          <t>Логист вручную распределяет поставку по правилу FEFO+ на бумаге / в таблице, 2 недели. Никакого софта</t>
        </is>
      </c>
      <c r="E6" s="15" t="inlineStr">
        <is>
          <t>Сколько раз решение алгоритма отличалось от интуитивного</t>
        </is>
      </c>
      <c r="F6" s="15" t="inlineStr">
        <is>
          <t>0 ₽</t>
        </is>
      </c>
    </row>
    <row r="7" ht="52" customHeight="1">
      <c r="A7" s="15" t="inlineStr"/>
      <c r="B7" s="15" t="inlineStr">
        <is>
          <t>3</t>
        </is>
      </c>
      <c r="C7" s="15" t="inlineStr">
        <is>
          <t>Пилот на одном РЦ</t>
        </is>
      </c>
      <c r="D7" s="15" t="inlineStr">
        <is>
          <t>Подключаем алгоритм к одной сети, 4 недели. Считаем RSL на приёмке и списания</t>
        </is>
      </c>
      <c r="E7" s="15" t="inlineStr">
        <is>
          <t>RSL на приёмке, % партий с коротким сроком, списания</t>
        </is>
      </c>
      <c r="F7" s="15" t="inlineStr">
        <is>
          <t>0 ₽ (только время)</t>
        </is>
      </c>
    </row>
    <row r="8" ht="52" customHeight="1">
      <c r="A8" s="15" t="inlineStr"/>
      <c r="B8" s="15" t="inlineStr">
        <is>
          <t>4</t>
        </is>
      </c>
      <c r="C8" s="15" t="inlineStr">
        <is>
          <t>A/B на двух сетях</t>
        </is>
      </c>
      <c r="D8" s="15" t="inlineStr">
        <is>
          <t>Одна сеть работает по алгоритму, вторая — как раньше. Одновременно, 4 недели</t>
        </is>
      </c>
      <c r="E8" s="15" t="inlineStr">
        <is>
          <t>Разница в списаниях и в объёме следующей заявки</t>
        </is>
      </c>
      <c r="F8" s="15" t="inlineStr">
        <is>
          <t>0 ₽</t>
        </is>
      </c>
    </row>
    <row r="9" ht="52" customHeight="1">
      <c r="A9" s="15" t="inlineStr"/>
      <c r="B9" s="15" t="inlineStr">
        <is>
          <t>5</t>
        </is>
      </c>
      <c r="C9" s="15" t="inlineStr">
        <is>
          <t>Считаем деньги</t>
        </is>
      </c>
      <c r="D9" s="15" t="inlineStr">
        <is>
          <t>Переводим разницу в рубли по договорным условиям сети</t>
        </is>
      </c>
      <c r="E9" s="15" t="inlineStr">
        <is>
          <t>Подтверждённая экономия → наша подписка как % от неё</t>
        </is>
      </c>
      <c r="F9" s="15" t="inlineStr">
        <is>
          <t>0 ₽</t>
        </is>
      </c>
    </row>
    <row r="10" ht="52" customHeight="1">
      <c r="A10" s="15" t="inlineStr"/>
      <c r="B10" s="15" t="inlineStr">
        <is>
          <t>6</t>
        </is>
      </c>
      <c r="C10" s="15" t="inlineStr">
        <is>
          <t>Решение о продукте</t>
        </is>
      </c>
      <c r="D10" s="15" t="inlineStr">
        <is>
          <t>Если эффект &lt; 30% от модельного — меняем гипотезу (например, продаём модуль самому РЦ)</t>
        </is>
      </c>
      <c r="E10" s="15" t="inlineStr">
        <is>
          <t>Go / no-go</t>
        </is>
      </c>
      <c r="F10" s="15" t="inlineStr">
        <is>
          <t>0 ₽</t>
        </is>
      </c>
    </row>
    <row r="12" ht="50" customHeight="1">
      <c r="B12" s="36" t="inlineStr">
        <is>
          <t>Главное: тест не стоит денег. Нужны только доступ к выгрузке и 2 часа логиста. Это и есть «дешёвые эксперименты» из требований ВШЭ. Полноценный MVP (алгоритм + прототип интерфейса) — уже готов и запускается: src/fefo_plus_mvp.py</t>
        </is>
      </c>
    </row>
  </sheetData>
  <mergeCells count="1">
    <mergeCell ref="B12:F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" customWidth="1" min="1" max="1"/>
    <col width="66" customWidth="1" min="2" max="2"/>
    <col width="74" customWidth="1" min="3" max="3"/>
  </cols>
  <sheetData>
    <row r="1">
      <c r="B1" s="7" t="inlineStr">
        <is>
          <t>Источники данных (указывать на слайдах сноской)</t>
        </is>
      </c>
    </row>
    <row r="3">
      <c r="A3" s="8" t="inlineStr"/>
      <c r="B3" s="8" t="inlineStr">
        <is>
          <t>Источник</t>
        </is>
      </c>
      <c r="C3" s="8" t="inlineStr">
        <is>
          <t>Ссылка</t>
        </is>
      </c>
    </row>
    <row r="4" ht="26" customHeight="1">
      <c r="B4" s="15" t="inlineStr">
        <is>
          <t>РСХБ: производство салатов и зелени в РФ — 29 тыс. т в защищённом грунте (2023)</t>
        </is>
      </c>
      <c r="C4" s="37" t="inlineStr">
        <is>
          <t>https://www.rshb.ru/news/27032024-000001</t>
        </is>
      </c>
    </row>
    <row r="5" ht="26" customHeight="1">
      <c r="B5" s="15" t="inlineStr">
        <is>
          <t>РСХБ / Интерфакс: потребление 7–10 кг зелени на человека, 12 кг к 2030</t>
        </is>
      </c>
      <c r="C5" s="37" t="inlineStr">
        <is>
          <t>https://www.interfax.ru/russia/897558</t>
        </is>
      </c>
    </row>
    <row r="6" ht="26" customHeight="1">
      <c r="B6" s="15" t="inlineStr">
        <is>
          <t>Агроинвестор: прогноз потребления зелени к 2030 году</t>
        </is>
      </c>
      <c r="C6" s="37" t="inlineStr">
        <is>
          <t>https://www.agroinvestor.ru/analytics/news/40199-rskhb-prognoziruet-rost-potrebleniya-zeleni-k-2030-godu/</t>
        </is>
      </c>
    </row>
    <row r="7" ht="26" customHeight="1">
      <c r="B7" s="15" t="inlineStr">
        <is>
          <t>Магнит: «Салат листовой в горшочке» — срок годности 10 дней, 89,99 ₽</t>
        </is>
      </c>
      <c r="C7" s="37" t="inlineStr">
        <is>
          <t>https://magnit.ru/product/3412080021-salat_listovoy_v_gorshochke</t>
        </is>
      </c>
    </row>
    <row r="8" ht="26" customHeight="1">
      <c r="B8" s="15" t="inlineStr">
        <is>
          <t>Лента: «Салат листовой в горшочке» — цена полки</t>
        </is>
      </c>
      <c r="C8" s="37" t="inlineStr">
        <is>
          <t>https://lenta.com/product/salat-listovojj-v-gorshochke-1sht-305012/</t>
        </is>
      </c>
    </row>
    <row r="9" ht="26" customHeight="1">
      <c r="B9" s="15" t="inlineStr">
        <is>
          <t>Омскстат: население области 1 805 806 чел., Омска — 1 101 367 (на 01.01.2025)</t>
        </is>
      </c>
      <c r="C9" s="37" t="inlineStr">
        <is>
          <t>https://55.rosstat.gov.ru/storage/mediabank/ind-naselenie_01.01.2025.htm</t>
        </is>
      </c>
    </row>
    <row r="10" ht="26" customHeight="1">
      <c r="B10" s="15" t="inlineStr">
        <is>
          <t>АКОРТ: до 7% закупок уходит в пищевые отходы, 70% из них — овощи и фрукты</t>
        </is>
      </c>
      <c r="C10" s="37" t="inlineStr">
        <is>
          <t>https://www.retail.ru/rbc/pressreleases/lucky-snacky-rossiyskiy-riteyl-protiv-porchi-ovoshchey-i-fruktov-slozhnosti-borby/</t>
        </is>
      </c>
    </row>
    <row r="11" ht="26" customHeight="1">
      <c r="B11" s="15" t="inlineStr">
        <is>
          <t>«Белая Дача»: 105 т готовой продукции в день, мощности по салатам</t>
        </is>
      </c>
      <c r="C11" s="37" t="inlineStr">
        <is>
          <t>https://www.bdsalads.ru/about/</t>
        </is>
      </c>
    </row>
    <row r="12" ht="26" customHeight="1">
      <c r="B12" s="15" t="inlineStr">
        <is>
          <t>«Коммерсантъ»: «Выборжец» — 120 млн горшков и упаковок зелени в год</t>
        </is>
      </c>
      <c r="C12" s="37" t="inlineStr">
        <is>
          <t>https://www.kommersant.ru/doc/4164941</t>
        </is>
      </c>
    </row>
    <row r="13" ht="26" customHeight="1">
      <c r="B13" s="15" t="inlineStr">
        <is>
          <t>РБК Омск: «Магнит» и «Пятёрочка» в Омской области — число торговых точек</t>
        </is>
      </c>
      <c r="C13" s="37" t="inlineStr">
        <is>
          <t>https://omsk.rbc.ru/omsk/31/01/2025/679c562f9a7947e296b8559c</t>
        </is>
      </c>
    </row>
    <row r="14" ht="26" customHeight="1">
      <c r="B14" s="15" t="inlineStr">
        <is>
          <t>Практика FEFO: снижение списаний на 15–40% при переводе с ручного учёта на WMS</t>
        </is>
      </c>
      <c r="C14" s="37" t="inlineStr">
        <is>
          <t>https://gt-logistics.ru/blog/fifo-i-fefo-v-skladskoj-logistike/</t>
        </is>
      </c>
    </row>
    <row r="15" ht="26" customHeight="1">
      <c r="B15" s="15" t="inlineStr">
        <is>
          <t>ВкусВилл: продажи зелени в горшочках +200–250%, списания −30–40%</t>
        </is>
      </c>
      <c r="C15" s="37" t="inlineStr">
        <is>
          <t>https://innovation.vkusvill.ru/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42" customWidth="1" min="3" max="3"/>
    <col width="14" customWidth="1" min="4" max="4"/>
    <col width="14" customWidth="1" min="5" max="5"/>
    <col width="18" customWidth="1" min="6" max="6"/>
    <col width="46" customWidth="1" min="7" max="7"/>
    <col width="11" customWidth="1" min="8" max="8"/>
    <col width="15" customWidth="1" min="9" max="9"/>
    <col width="18" customWidth="1" min="10" max="10"/>
  </cols>
  <sheetData>
    <row r="2">
      <c r="B2" s="38" t="inlineStr">
        <is>
          <t>Реестр рисков FEFO+ · тыс. ₽ за год</t>
        </is>
      </c>
    </row>
    <row r="3">
      <c r="B3" s="39" t="inlineStr">
        <is>
          <t>Ожидаемая потеря = вероятность × ущерб. Остаточный риск — после митигации.</t>
        </is>
      </c>
    </row>
    <row r="5">
      <c r="B5" s="40" t="inlineStr">
        <is>
          <t>№</t>
        </is>
      </c>
      <c r="C5" s="40" t="inlineStr">
        <is>
          <t>Риск</t>
        </is>
      </c>
      <c r="D5" s="40" t="inlineStr">
        <is>
          <t>Вероятность p</t>
        </is>
      </c>
      <c r="E5" s="40" t="inlineStr">
        <is>
          <t>Ущерб, ₽</t>
        </is>
      </c>
      <c r="F5" s="40" t="inlineStr">
        <is>
          <t>Ожидаемая потеря, ₽</t>
        </is>
      </c>
      <c r="G5" s="40" t="inlineStr">
        <is>
          <t>Митигация</t>
        </is>
      </c>
      <c r="H5" s="40" t="inlineStr">
        <is>
          <t>p после</t>
        </is>
      </c>
      <c r="I5" s="40" t="inlineStr">
        <is>
          <t>Ущерб после, ₽</t>
        </is>
      </c>
      <c r="J5" s="40" t="inlineStr">
        <is>
          <t>Остаточный риск, ₽</t>
        </is>
      </c>
    </row>
    <row r="6">
      <c r="B6" s="41" t="n">
        <v>1</v>
      </c>
      <c r="C6" s="42" t="inlineStr">
        <is>
          <t>Сеть не даёт данные по продажам магазинов</t>
        </is>
      </c>
      <c r="D6" s="43" t="n">
        <v>0.3</v>
      </c>
      <c r="E6" s="41" t="n">
        <v>240000</v>
      </c>
      <c r="F6" s="43">
        <f>C6*D6</f>
        <v/>
      </c>
      <c r="G6" s="42" t="inlineStr">
        <is>
          <t>перечень данных в договоре пилота; fallback — отчёты поставщика</t>
        </is>
      </c>
      <c r="H6" s="43" t="n">
        <v>0.1</v>
      </c>
      <c r="I6" s="41" t="n">
        <v>120000</v>
      </c>
      <c r="J6" s="43">
        <f>G6*H6</f>
        <v/>
      </c>
    </row>
    <row r="7">
      <c r="B7" s="44" t="n">
        <v>2</v>
      </c>
      <c r="C7" s="45" t="inlineStr">
        <is>
          <t>Прогноз спроса ошибается (MAPE &gt; 30%)</t>
        </is>
      </c>
      <c r="D7" s="46" t="n">
        <v>0.35</v>
      </c>
      <c r="E7" s="44" t="n">
        <v>120000</v>
      </c>
      <c r="F7" s="46">
        <f>C7*D7</f>
        <v/>
      </c>
      <c r="G7" s="45" t="inlineStr">
        <is>
          <t>бенчмарк с простым FEFO, метрика MAPE, калибровка раз в неделю</t>
        </is>
      </c>
      <c r="H7" s="46" t="n">
        <v>0.15</v>
      </c>
      <c r="I7" s="44" t="n">
        <v>60000</v>
      </c>
      <c r="J7" s="46">
        <f>G7*H7</f>
        <v/>
      </c>
    </row>
    <row r="8">
      <c r="B8" s="41" t="n">
        <v>3</v>
      </c>
      <c r="C8" s="42" t="inlineStr">
        <is>
          <t>Сопротивление логистов и менеджеров</t>
        </is>
      </c>
      <c r="D8" s="43" t="n">
        <v>0.5</v>
      </c>
      <c r="E8" s="41" t="n">
        <v>40000</v>
      </c>
      <c r="F8" s="43">
        <f>C8*D8</f>
        <v/>
      </c>
      <c r="G8" s="42" t="inlineStr">
        <is>
          <t>2 недели режима «тень», обучение, логист в калибровке</t>
        </is>
      </c>
      <c r="H8" s="43" t="n">
        <v>0.2</v>
      </c>
      <c r="I8" s="41" t="n">
        <v>20000</v>
      </c>
      <c r="J8" s="43">
        <f>G8*H8</f>
        <v/>
      </c>
    </row>
    <row r="9">
      <c r="B9" s="44" t="n">
        <v>4</v>
      </c>
      <c r="C9" s="45" t="inlineStr">
        <is>
          <t>Ошибка на промо и праздниках</t>
        </is>
      </c>
      <c r="D9" s="46" t="n">
        <v>0.4</v>
      </c>
      <c r="E9" s="44" t="n">
        <v>30000</v>
      </c>
      <c r="F9" s="46">
        <f>C9*D9</f>
        <v/>
      </c>
      <c r="G9" s="45" t="inlineStr">
        <is>
          <t>календарь промо от сети, запас 10%, ручное подтверждение</t>
        </is>
      </c>
      <c r="H9" s="46" t="n">
        <v>0.15</v>
      </c>
      <c r="I9" s="44" t="n">
        <v>30000</v>
      </c>
      <c r="J9" s="46">
        <f>G9*H9</f>
        <v/>
      </c>
    </row>
    <row r="10">
      <c r="B10" s="41" t="n">
        <v>5</v>
      </c>
      <c r="C10" s="42" t="inlineStr">
        <is>
          <t>Утечка данных клиента / претензии</t>
        </is>
      </c>
      <c r="D10" s="43" t="n">
        <v>0.08</v>
      </c>
      <c r="E10" s="41" t="n">
        <v>500000</v>
      </c>
      <c r="F10" s="43">
        <f>C10*D10</f>
        <v/>
      </c>
      <c r="G10" s="42" t="inlineStr">
        <is>
          <t>NDA, обезличивание, изолированный контур, шифрование</t>
        </is>
      </c>
      <c r="H10" s="43" t="n">
        <v>0.03</v>
      </c>
      <c r="I10" s="41" t="n">
        <v>500000</v>
      </c>
      <c r="J10" s="43">
        <f>G10*H10</f>
        <v/>
      </c>
    </row>
    <row r="11">
      <c r="B11" s="44" t="n">
        <v>6</v>
      </c>
      <c r="C11" s="45" t="inlineStr">
        <is>
          <t>Затяжная интеграция с WMS / 1С</t>
        </is>
      </c>
      <c r="D11" s="46" t="n">
        <v>0.45</v>
      </c>
      <c r="E11" s="44" t="n">
        <v>40000</v>
      </c>
      <c r="F11" s="46">
        <f>C11*D11</f>
        <v/>
      </c>
      <c r="G11" s="45" t="inlineStr">
        <is>
          <t>API-first + CSV-fallback, буфер 2 недели</t>
        </is>
      </c>
      <c r="H11" s="46" t="n">
        <v>0.15</v>
      </c>
      <c r="I11" s="44" t="n">
        <v>20000</v>
      </c>
      <c r="J11" s="46">
        <f>G11*H11</f>
        <v/>
      </c>
    </row>
    <row r="12">
      <c r="B12" s="41" t="n">
        <v>7</v>
      </c>
      <c r="C12" s="42" t="inlineStr">
        <is>
          <t>Пилот не подтверждает эффект</t>
        </is>
      </c>
      <c r="D12" s="43" t="n">
        <v>0.25</v>
      </c>
      <c r="E12" s="41" t="n">
        <v>300000</v>
      </c>
      <c r="F12" s="43">
        <f>C12*D12</f>
        <v/>
      </c>
      <c r="G12" s="42" t="inlineStr">
        <is>
          <t>порог go/no-go, две контрольные группы, оплата по факту</t>
        </is>
      </c>
      <c r="H12" s="43" t="n">
        <v>0.15</v>
      </c>
      <c r="I12" s="41" t="n">
        <v>150000</v>
      </c>
      <c r="J12" s="43">
        <f>G12*H12</f>
        <v/>
      </c>
    </row>
    <row r="13">
      <c r="B13" s="44" t="n">
        <v>8</v>
      </c>
      <c r="C13" s="45" t="inlineStr">
        <is>
          <t>Зависимость от одного якорного клиента</t>
        </is>
      </c>
      <c r="D13" s="46" t="n">
        <v>0.55</v>
      </c>
      <c r="E13" s="44" t="n">
        <v>162000</v>
      </c>
      <c r="F13" s="46">
        <f>C13*D13</f>
        <v/>
      </c>
      <c r="G13" s="45" t="inlineStr">
        <is>
          <t>контракты на год, план 6 хозяйств, диверсификация</t>
        </is>
      </c>
      <c r="H13" s="46" t="n">
        <v>0.3</v>
      </c>
      <c r="I13" s="44" t="n">
        <v>162000</v>
      </c>
      <c r="J13" s="46">
        <f>G13*H13</f>
        <v/>
      </c>
    </row>
    <row r="14">
      <c r="B14" s="41" t="n">
        <v>9</v>
      </c>
      <c r="C14" s="42" t="inlineStr">
        <is>
          <t>WMS-вендор выпускает аналог</t>
        </is>
      </c>
      <c r="D14" s="43" t="n">
        <v>0.3</v>
      </c>
      <c r="E14" s="41" t="n">
        <v>81000</v>
      </c>
      <c r="F14" s="43">
        <f>C14*D14</f>
        <v/>
      </c>
      <c r="G14" s="42" t="inlineStr">
        <is>
          <t>партнёрство с вендором, фокус на поставщика, скорость</t>
        </is>
      </c>
      <c r="H14" s="43" t="n">
        <v>0.2</v>
      </c>
      <c r="I14" s="41" t="n">
        <v>40000</v>
      </c>
      <c r="J14" s="43">
        <f>G14*H14</f>
        <v/>
      </c>
    </row>
    <row r="15">
      <c r="B15" s="47" t="inlineStr">
        <is>
          <t>ИТОГО</t>
        </is>
      </c>
      <c r="C15" s="48" t="inlineStr">
        <is>
          <t>—</t>
        </is>
      </c>
      <c r="D15" s="48" t="inlineStr">
        <is>
          <t>—</t>
        </is>
      </c>
      <c r="E15" s="48" t="n"/>
      <c r="F15" s="49">
        <f>SUM(F6:F14)</f>
        <v/>
      </c>
      <c r="G15" s="48" t="n"/>
      <c r="H15" s="48" t="n"/>
      <c r="I15" s="48" t="n"/>
      <c r="J15" s="50">
        <f>SUM(J6:J14)</f>
        <v/>
      </c>
    </row>
    <row r="17">
      <c r="B17" s="51" t="inlineStr">
        <is>
          <t>Снижение ожидаемых потерь</t>
        </is>
      </c>
      <c r="F17" s="52">
        <f>1-J15/F15</f>
        <v/>
      </c>
    </row>
    <row r="19">
      <c r="B19" s="53" t="inlineStr">
        <is>
          <t>Пороги зон</t>
        </is>
      </c>
    </row>
    <row r="20">
      <c r="B20" s="54" t="inlineStr">
        <is>
          <t>Вероятность</t>
        </is>
      </c>
      <c r="C20" s="6" t="inlineStr">
        <is>
          <t>низкая &lt; 20% · средняя 20–39% · высокая 40% и выше</t>
        </is>
      </c>
    </row>
    <row r="21">
      <c r="B21" s="54" t="inlineStr">
        <is>
          <t>Ущерб</t>
        </is>
      </c>
      <c r="C21" s="6" t="inlineStr">
        <is>
          <t>низкий &lt; 50 тыс. ₽ · средний 50–199 тыс. ₽ · высокий 200 тыс. ₽ и выше</t>
        </is>
      </c>
    </row>
    <row r="22">
      <c r="B22" s="54" t="inlineStr">
        <is>
          <t>Красная зона</t>
        </is>
      </c>
      <c r="C22" s="6" t="inlineStr">
        <is>
          <t>действовать сразу: высокая вероятность при высоком/среднем ущербе</t>
        </is>
      </c>
    </row>
    <row r="23">
      <c r="B23" s="54" t="inlineStr">
        <is>
          <t>Жёлтая зона</t>
        </is>
      </c>
      <c r="C23" s="6" t="inlineStr">
        <is>
          <t>держать на контроле: остальные комбинации средней тяжести</t>
        </is>
      </c>
    </row>
    <row r="24">
      <c r="B24" s="54" t="inlineStr">
        <is>
          <t>Зелёная зона</t>
        </is>
      </c>
      <c r="C24" s="6" t="inlineStr">
        <is>
          <t>наблюдать: низкая вероятность при небольшом ущербе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2026-10-21T07:17:05Z</dcterms:created>
  <dcterms:modified xmlns:dcterms="http://purl.org/dc/terms/" xmlns:xsi="http://www.w3.org/2001/XMLSchema-instance" xsi:type="dcterms:W3CDTF">2026-10-21T11:24:20Z</dcterms:modified>
</cp:coreProperties>
</file>